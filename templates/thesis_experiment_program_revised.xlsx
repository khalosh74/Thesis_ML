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README"/>
    <sheet r:id="rId2" sheetId="2" name="Master_Experiments"/>
    <sheet r:id="rId3" sheetId="3" name="Experiment_Definitions"/>
    <sheet r:id="rId4" sheetId="4" name="Search_Spaces"/>
    <sheet r:id="rId5" sheetId="5" name="Study_Design"/>
    <sheet r:id="rId6" sheetId="6" name="Study_Rigor_Checklist"/>
    <sheet r:id="rId7" sheetId="7" name="Analysis_Plan"/>
    <sheet r:id="rId8" sheetId="8" name="Factors"/>
    <sheet r:id="rId9" sheetId="9" name="Fixed_Controls"/>
    <sheet r:id="rId10" sheetId="10" name="Constraints"/>
    <sheet r:id="rId11" sheetId="11" name="Blocking_and_Replication"/>
    <sheet r:id="rId12" sheetId="12" name="Generated_Design_Matrix"/>
    <sheet r:id="rId13" sheetId="13" name="Effect_Summaries"/>
    <sheet r:id="rId14" sheetId="14" name="Study_Review"/>
    <sheet r:id="rId15" sheetId="15" name="Artifact_Registry"/>
    <sheet r:id="rId16" sheetId="16" name="Fixed_Configs"/>
    <sheet r:id="rId17" sheetId="17" name="Objectives"/>
    <sheet r:id="rId18" sheetId="18" name="Machine_Status"/>
    <sheet r:id="rId19" sheetId="19" name="Trial_Results"/>
    <sheet r:id="rId20" sheetId="20" name="Summary_Outputs"/>
    <sheet r:id="rId21" sheetId="21" name="Data_Selection_Design"/>
    <sheet r:id="rId22" sheetId="22" name="Grouping_Strategy_Map"/>
    <sheet r:id="rId23" sheetId="23" name="Data_Profile"/>
    <sheet r:id="rId24" sheetId="24" name="Run_Log"/>
    <sheet r:id="rId25" sheetId="25" name="Decision_Log"/>
    <sheet r:id="rId26" sheetId="26" name="Confirmatory_Set"/>
    <sheet r:id="rId27" sheetId="27" name="Thesis_Map"/>
    <sheet r:id="rId28" sheetId="28" name="Dictionary_Validation"/>
    <sheet r:id="rId29" sheetId="29" name="Dashboard"/>
    <sheet r:id="rId30" sheetId="30" name="Claim_Ledger"/>
    <sheet r:id="rId31" sheetId="31" name="AI_Usage_Log"/>
    <sheet r:id="rId32" sheetId="32" name="Ethics_Governance_Notes"/>
  </sheets>
  <definedNames>
    <definedName name="List_Experiment_ID">'Master_Experiments'!$A$2:INDEX('Master_Experiments'!$A:$A,MATCH("zzz",'Master_Experiments'!$A:$A))</definedName>
    <definedName name="List_Search_Space_ID">'Search_Spaces'!$A$3:INDEX('Search_Spaces'!$A:$A,MATCH("zzz",'Search_Spaces'!$A:$A))</definedName>
    <definedName name="List_Study_ID">'Study_Design'!$A$3:INDEX('Study_Design'!$A:$A,MATCH("zzz",'Study_Design'!$A:$A))</definedName>
    <definedName name="List_Data_Slice_ID">'Data_Selection_Design'!$A$2:INDEX('Data_Selection_Design'!$A:$A,MATCH("zzz",'Data_Selection_Design'!$A:$A))</definedName>
    <definedName name="List_Grouping_Strategy_ID">'Grouping_Strategy_Map'!$A$2:INDEX('Grouping_Strategy_Map'!$A:$A,MATCH("zzz",'Grouping_Strategy_Map'!$A:$A))</definedName>
    <definedName name="List_Category">'Dictionary_Validation'!$A$3:$A$9</definedName>
    <definedName name="List_Evidential_Role">'Dictionary_Validation'!$B$3:$B$7</definedName>
    <definedName name="List_Stage">'Dictionary_Validation'!$C$3:$C$9</definedName>
    <definedName name="List_Priority">'Dictionary_Validation'!$D$3:$D$6</definedName>
    <definedName name="List_Status">'Dictionary_Validation'!$E$3:$E$8</definedName>
    <definedName name="List_Reporting_Destination">'Dictionary_Validation'!$F$3:$F$7</definedName>
    <definedName name="List_Reviewed">'Dictionary_Validation'!$G$3:$G$4</definedName>
    <definedName name="List_Used_in_Thesis">'Dictionary_Validation'!$H$3:$H$4</definedName>
    <definedName name="List_Freeze_Status">'Dictionary_Validation'!$I$3:$I$4</definedName>
    <definedName name="List_Run_Type">'Dictionary_Validation'!$J$3:$J$7</definedName>
    <definedName name="List_Affects_Frozen_Pipeline">'Dictionary_Validation'!$K$3:$K$4</definedName>
    <definedName name="List_Eligible_for_Method_Decision">'Dictionary_Validation'!$L$3:$L$4</definedName>
    <definedName name="List_Claim_Type">'Dictionary_Validation'!$M$3:$M$6</definedName>
    <definedName name="List_Evidence_Status">'Dictionary_Validation'!$N$3:$N$5</definedName>
    <definedName name="List_Writing_Location">'Dictionary_Validation'!$O$3:$O$6</definedName>
    <definedName name="List_Human_Verification_Status">'Dictionary_Validation'!$P$3:$P$5</definedName>
    <definedName name="List_Ethics_Status">'Dictionary_Validation'!$Q$3:$Q$5</definedName>
    <definedName name="List_Ethics_Topic">'Dictionary_Validation'!$R$3:$R$8</definedName>
    <definedName name="List_Required_for_Main_Claim">'Dictionary_Validation'!$S$3:$S$4</definedName>
    <definedName name="List_Ready_for_Chapter_4">'Dictionary_Validation'!$T$3:$T$4</definedName>
    <definedName name="List_YesNo">'Dictionary_Validation'!$U$3:$U$4</definedName>
    <definedName name="List_Subject_Scope">'Dictionary_Validation'!$V$3:$V$5</definedName>
    <definedName name="List_Session_Scope">'Dictionary_Validation'!$W$3:$W$7</definedName>
    <definedName name="List_Task_Scope">'Dictionary_Validation'!$X$3:$X$7</definedName>
    <definedName name="List_Modality_Scope">'Dictionary_Validation'!$Y$3:$Y$6</definedName>
    <definedName name="List_Class_Balance_Policy">'Dictionary_Validation'!$Z$3:$Z$6</definedName>
    <definedName name="List_Split_Family">'Dictionary_Validation'!$AA$3:$AA$7</definedName>
    <definedName name="List_Imbalance_Status">'Dictionary_Validation'!$AB$3:$AB$6</definedName>
    <definedName name="List_Leakage_Check_Status">'Dictionary_Validation'!$AC$3:$AC$6</definedName>
    <definedName name="List_Thesis_Use_Tag">'Dictionary_Validation'!$AD$3:$AD$7</definedName>
    <definedName name="List_Use_Case">'Dictionary_Validation'!$AE$3:$AE$9</definedName>
    <definedName name="List_Group_Unit">'Dictionary_Validation'!$AF$3:$AF$9</definedName>
    <definedName name="List_Grouping_Level">'Dictionary_Validation'!$AG$3:$AG$9</definedName>
    <definedName name="List_Transfer_Direction">'Dictionary_Validation'!$AH$3:$AH$7</definedName>
    <definedName name="List_Leakage_Risk_Level">'Dictionary_Validation'!$AI$3:$AI$6</definedName>
    <definedName name="List_Target_Type">'Dictionary_Validation'!$AJ$3:$AJ$6</definedName>
    <definedName name="List_Execution_Section">'Dictionary_Validation'!$AK$3:$AK$9</definedName>
    <definedName name="List_Reuse_Policy">'Dictionary_Validation'!$AL$3:$AL$5</definedName>
    <definedName name="List_Search_Optimization_Mode">'Dictionary_Validation'!$AM$3:$AM$4</definedName>
    <definedName name="List_Search_Parameter_Scope">'Dictionary_Validation'!$AN$3:$AN$5</definedName>
    <definedName name="List_Study_Type">'Dictionary_Validation'!$AO$3:$AO$6</definedName>
    <definedName name="List_Study_Intent">'Dictionary_Validation'!$AP$3:$AP$4</definedName>
    <definedName name="List_Factor_Type">'Dictionary_Validation'!$AQ$3:$AQ$6</definedName>
    <definedName name="List_Replication_Mode">'Dictionary_Validation'!$AR$3:$AR$5</definedName>
    <definedName name="List_Replication_Strategy">'Dictionary_Validation'!$AS$3:$AS$6</definedName>
    <definedName name="List_Blocking_Strategy">'Dictionary_Validation'!$AT$3:$AT$7</definedName>
    <definedName name="List_Randomization_Strategy">'Dictionary_Validation'!$AU$3:$AU$7</definedName>
    <definedName name="List_Random_Seed_Policy">'Dictionary_Validation'!$AV$3:$AV$5</definedName>
    <definedName name="List_Block_Type">'Dictionary_Validation'!$AW$3:$AW$7</definedName>
    <definedName name="List_Design_Cell_Status">'Dictionary_Validation'!$AX$3:$AX$7</definedName>
    <definedName name="List_Aggregation_Level">'Dictionary_Validation'!$AY$3:$AY$7</definedName>
    <definedName name="List_Uncertainty_Method">'Dictionary_Validation'!$AZ$3:$AZ$7</definedName>
    <definedName name="List_Multiplicity_Handling">'Dictionary_Validation'!$BA$3:$BA$8</definedName>
    <definedName name="List_Interaction_Reporting_Policy">'Dictionary_Validation'!$BB$3:$BB$6</definedName>
    <definedName name="List_Study_Review_Disposition">'Dictionary_Validation'!$BC$3:$BC$5</definedName>
    <definedName name="List_Study_Eligibility_Status">'Dictionary_Validation'!$BD$3:$BD$5</definedName>
  </definedNames>
  <calcPr fullCalcOnLoad="1"/>
</workbook>
</file>

<file path=xl/sharedStrings.xml><?xml version="1.0" encoding="utf-8"?>
<sst xmlns="http://schemas.openxmlformats.org/spreadsheetml/2006/main" count="3223" uniqueCount="1556">
  <si>
    <t>Note_ID</t>
  </si>
  <si>
    <t>Experiment_ID_or_Decision_ID</t>
  </si>
  <si>
    <t>Topic</t>
  </si>
  <si>
    <t>Risk_or_Concern</t>
  </si>
  <si>
    <t>Mitigation_or_Response</t>
  </si>
  <si>
    <t>Thesis_Section</t>
  </si>
  <si>
    <t>Status</t>
  </si>
  <si>
    <t>Notes</t>
  </si>
  <si>
    <t>EN01</t>
  </si>
  <si>
    <t>E16</t>
  </si>
  <si>
    <t>Interpretation limits</t>
  </si>
  <si>
    <t>Risk of over-claiming confirmatory evidence beyond split/domain scope</t>
  </si>
  <si>
    <t>Enforce interpretation boundaries in Claim_Ledger and Chapter 5 limitations</t>
  </si>
  <si>
    <t>Chapter 5</t>
  </si>
  <si>
    <t>Open</t>
  </si>
  <si>
    <t>EN02</t>
  </si>
  <si>
    <t>D08</t>
  </si>
  <si>
    <t>AI/tool transparency</t>
  </si>
  <si>
    <t>Insufficient traceability of AI-assisted drafting decisions</t>
  </si>
  <si>
    <t>Maintain AI_Usage_Log with human verification status before thesis inclusion</t>
  </si>
  <si>
    <t>Chapter 2/Appendix</t>
  </si>
  <si>
    <t>EN03</t>
  </si>
  <si>
    <t>E20</t>
  </si>
  <si>
    <t>Confound interpretation</t>
  </si>
  <si>
    <t>Task/modality/session structure may be mistaken for affect-related evidence.</t>
  </si>
  <si>
    <t>Treat confound-diagnostic results as interpretation boundaries and report them even if they weaken the preferred narrative.</t>
  </si>
  <si>
    <t>Chapter 4/5</t>
  </si>
  <si>
    <t>Supports cautious interpretation.</t>
  </si>
  <si>
    <t>EN04</t>
  </si>
  <si>
    <t>E21,E22</t>
  </si>
  <si>
    <t>Generalization scope</t>
  </si>
  <si>
    <t>Held-out task or modality failures may indicate claim scope is narrower than pooled-session performance suggests.</t>
  </si>
  <si>
    <t>Use stronger generalization language only if these checks remain directionally supportive.</t>
  </si>
  <si>
    <t>Do not hide negative robustness checks.</t>
  </si>
  <si>
    <t>EN05</t>
  </si>
  <si>
    <t>E23</t>
  </si>
  <si>
    <t>Subset dependence</t>
  </si>
  <si>
    <t>A result driven by a small number of sessions can overstate stability.</t>
  </si>
  <si>
    <t>Use session-influence sensitivity before strong wording about stability.</t>
  </si>
  <si>
    <t>Relevant to repeated-measures validity.</t>
  </si>
  <si>
    <t>EN06</t>
  </si>
  <si>
    <t>E24</t>
  </si>
  <si>
    <t>Reproducibility and tool transparency</t>
  </si>
  <si>
    <t>A final evidence package that cannot be cleanly rerun weakens trustworthiness.</t>
  </si>
  <si>
    <t>Require frozen rerun audit plus AI/tool logging before defense-ready packaging.</t>
  </si>
  <si>
    <t>Appendix / Reflection</t>
  </si>
  <si>
    <t>Links technical reproducibility to transparency.</t>
  </si>
  <si>
    <t>Entry_ID</t>
  </si>
  <si>
    <t>Date</t>
  </si>
  <si>
    <t>Task</t>
  </si>
  <si>
    <t>Tool</t>
  </si>
  <si>
    <t>Input_Summary</t>
  </si>
  <si>
    <t>Output_Summary</t>
  </si>
  <si>
    <t>What_Was_Adopted</t>
  </si>
  <si>
    <t>Human_Verification_Status</t>
  </si>
  <si>
    <t>Thesis_Use</t>
  </si>
  <si>
    <t>AI001</t>
  </si>
  <si>
    <t>GPT-5.3-Codex</t>
  </si>
  <si>
    <t>Workbook package revision and governance alignment</t>
  </si>
  <si>
    <t>Not reviewed</t>
  </si>
  <si>
    <t>No</t>
  </si>
  <si>
    <t>AI002</t>
  </si>
  <si>
    <t>2026-03-23</t>
  </si>
  <si>
    <t>Workbook governance and robustness-package revision</t>
  </si>
  <si>
    <t>GPT-5.4 Thinking</t>
  </si>
  <si>
    <t>Reviewed thesis/project logic and redesigned workbook planning sheets around method-lock + robustness package.</t>
  </si>
  <si>
    <t>Updated experiment inventory, design sheets, decision links, confirmatory set, and dashboard support block.</t>
  </si>
  <si>
    <t>Workbook structure and text plan adopted, to be human-reviewed before thesis use.</t>
  </si>
  <si>
    <t>Partially verified</t>
  </si>
  <si>
    <t>Yes</t>
  </si>
  <si>
    <t>Requires manual review of experiment feasibility against code before execution.</t>
  </si>
  <si>
    <t>Claim_ID</t>
  </si>
  <si>
    <t>Claim_Text</t>
  </si>
  <si>
    <t>Claim_Type</t>
  </si>
  <si>
    <t>Supported_By_Experiments</t>
  </si>
  <si>
    <t>Evidence_Status</t>
  </si>
  <si>
    <t>Writing_Location</t>
  </si>
  <si>
    <t>Interpretation_Limit</t>
  </si>
  <si>
    <t>C01</t>
  </si>
  <si>
    <t>Primary within-person held-out-session decoding demonstrates meaningful generalization under locked pipeline.</t>
  </si>
  <si>
    <t>Confirmatory finding</t>
  </si>
  <si>
    <t>E16,E12,E13,E14</t>
  </si>
  <si>
    <t>open</t>
  </si>
  <si>
    <t>Chapter 4</t>
  </si>
  <si>
    <t>Interpret only within claim-matched split and current dataset scope.</t>
  </si>
  <si>
    <t>C02</t>
  </si>
  <si>
    <t>Frozen directional cross-person transfer indicates cross-case portability under domain shift.</t>
  </si>
  <si>
    <t>E17,E12,E13</t>
  </si>
  <si>
    <t>Not a population-level generalization claim.</t>
  </si>
  <si>
    <t>C03</t>
  </si>
  <si>
    <t>Method lock decisions reduce leakage risk and interpretation drift.</t>
  </si>
  <si>
    <t>Method-choice</t>
  </si>
  <si>
    <t>E01,E04,E05,E06,E09,E11</t>
  </si>
  <si>
    <t>partial</t>
  </si>
  <si>
    <t>Chapter 3</t>
  </si>
  <si>
    <t>Governance claim; not a performance claim.</t>
  </si>
  <si>
    <t>C04</t>
  </si>
  <si>
    <t>Primary within-person result is not obviously reducible to non-target task, modality, or session-structure diagnostics.</t>
  </si>
  <si>
    <t>Robustness support</t>
  </si>
  <si>
    <t>Chapter 4 / Chapter 5</t>
  </si>
  <si>
    <t>Diagnostics can narrow interpretation even if primary performance remains above chance.</t>
  </si>
  <si>
    <t>Confound-diagnostic boundary claim.</t>
  </si>
  <si>
    <t>C05</t>
  </si>
  <si>
    <t>Main within-person conclusions remain directionally stable under stronger temporal or subset-sensitivity checks.</t>
  </si>
  <si>
    <t>E21,E22,E23</t>
  </si>
  <si>
    <t>Failure in stronger checks narrows the generalization language.</t>
  </si>
  <si>
    <t>Robustness-scope claim.</t>
  </si>
  <si>
    <t>C06</t>
  </si>
  <si>
    <t>Frozen confirmatory outputs are operationally reproducible under a rerun audit.</t>
  </si>
  <si>
    <t>Method-application / audit</t>
  </si>
  <si>
    <t>Appendix / Method</t>
  </si>
  <si>
    <t>Operational reproducibility does not itself prove scientific validity, but supports trustworthiness.</t>
  </si>
  <si>
    <t>Reproducibility claim.</t>
  </si>
  <si>
    <t>Thesis Experiment Program Dashboard (v2)</t>
  </si>
  <si>
    <t>Program state summary</t>
  </si>
  <si>
    <t>Experiments by category</t>
  </si>
  <si>
    <t>Experiments by evidential role</t>
  </si>
  <si>
    <t>Experiments by data slice</t>
  </si>
  <si>
    <t>Experiments by grouping strategy</t>
  </si>
  <si>
    <t>Total number of experiments</t>
  </si>
  <si>
    <t>Completed experiments</t>
  </si>
  <si>
    <t>Critical experiments completed</t>
  </si>
  <si>
    <t>Open decisions</t>
  </si>
  <si>
    <t>Locked decisions</t>
  </si>
  <si>
    <t>Target locked?</t>
  </si>
  <si>
    <t>Split locked?</t>
  </si>
  <si>
    <t>Model locked?</t>
  </si>
  <si>
    <t>Feature/preprocessing locked?</t>
  </si>
  <si>
    <t>Confirmatory eligibility achieved?</t>
  </si>
  <si>
    <t>Confirmatory ready for Chapter 4?</t>
  </si>
  <si>
    <t>Experiments mapped to Chapter 4 main results</t>
  </si>
  <si>
    <t>Experiments mapped only to Appendix</t>
  </si>
  <si>
    <t>Claims with Evidence_Status = supported</t>
  </si>
  <si>
    <t>Quick comparison counts (run-level)</t>
  </si>
  <si>
    <t>Claims with Evidence_Status = partial</t>
  </si>
  <si>
    <t>Pooled task runs</t>
  </si>
  <si>
    <t>Claims with Evidence_Status = open</t>
  </si>
  <si>
    <t>Task-specific runs</t>
  </si>
  <si>
    <t>AI log entries</t>
  </si>
  <si>
    <t>Pooled modality runs</t>
  </si>
  <si>
    <t>Open ethics/governance notes</t>
  </si>
  <si>
    <t>Modality-specific runs</t>
  </si>
  <si>
    <t>Runs flagged with imbalance warning</t>
  </si>
  <si>
    <t>Within-person runs</t>
  </si>
  <si>
    <t>Runs flagged with leakage warning/fail</t>
  </si>
  <si>
    <t>Cross-person runs</t>
  </si>
  <si>
    <t>Distinct data slices used in Run_Log</t>
  </si>
  <si>
    <t>Temporal split runs</t>
  </si>
  <si>
    <t>Distinct grouping strategies used in Run_Log</t>
  </si>
  <si>
    <t>Runs with Data_Slice_ID recorded</t>
  </si>
  <si>
    <t>Runs with Grouping_Strategy_ID recorded</t>
  </si>
  <si>
    <t>Robustness coverage status</t>
  </si>
  <si>
    <t>Permutation support in program</t>
  </si>
  <si>
    <t>Confound diagnostics in program</t>
  </si>
  <si>
    <t>Leave-task-out in program</t>
  </si>
  <si>
    <t>Leave-modality-out in program</t>
  </si>
  <si>
    <t>Trivial baseline in program</t>
  </si>
  <si>
    <t>Temporal / subset sensitivity in program</t>
  </si>
  <si>
    <t>Session-influence in program</t>
  </si>
  <si>
    <t>Reproducibility audit in program</t>
  </si>
  <si>
    <t>Explanation stability in program</t>
  </si>
  <si>
    <t>Supporting robustness rows in Confirmatory_Set</t>
  </si>
  <si>
    <t>Supporting robustness experiments completed</t>
  </si>
  <si>
    <t>Use these cells to verify that the workbook includes the intended robustness package before Chapter 4 drafting.</t>
  </si>
  <si>
    <t>Controlled vocabularies (drives dropdown validation)</t>
  </si>
  <si>
    <t>Term definitions</t>
  </si>
  <si>
    <t>Category</t>
  </si>
  <si>
    <t>Evidential_Role</t>
  </si>
  <si>
    <t>Stage</t>
  </si>
  <si>
    <t>Priority</t>
  </si>
  <si>
    <t>Reporting_Destination</t>
  </si>
  <si>
    <t>Reviewed</t>
  </si>
  <si>
    <t>Used_in_Thesis</t>
  </si>
  <si>
    <t>Freeze_Status</t>
  </si>
  <si>
    <t>Run_Type</t>
  </si>
  <si>
    <t>Affects_Frozen_Pipeline</t>
  </si>
  <si>
    <t>Eligible_for_Method_Decision</t>
  </si>
  <si>
    <t>Ethics_Status</t>
  </si>
  <si>
    <t>Ethics_Topic</t>
  </si>
  <si>
    <t>Required_for_Main_Claim</t>
  </si>
  <si>
    <t>Ready_for_Chapter_4</t>
  </si>
  <si>
    <t>YesNo</t>
  </si>
  <si>
    <t>Subject_Scope</t>
  </si>
  <si>
    <t>Session_Scope</t>
  </si>
  <si>
    <t>Task_Scope</t>
  </si>
  <si>
    <t>Modality_Scope</t>
  </si>
  <si>
    <t>Class_Balance_Policy</t>
  </si>
  <si>
    <t>Split_Family</t>
  </si>
  <si>
    <t>Imbalance_Status</t>
  </si>
  <si>
    <t>Leakage_Check_Status</t>
  </si>
  <si>
    <t>Thesis_Use_Tag</t>
  </si>
  <si>
    <t>Use_Case</t>
  </si>
  <si>
    <t>Group_Unit</t>
  </si>
  <si>
    <t>Grouping_Level</t>
  </si>
  <si>
    <t>Transfer_Direction</t>
  </si>
  <si>
    <t>Leakage_Risk_Level</t>
  </si>
  <si>
    <t>Target_Type</t>
  </si>
  <si>
    <t>Execution_Section</t>
  </si>
  <si>
    <t>Reuse_Policy</t>
  </si>
  <si>
    <t>Search_Optimization_Mode</t>
  </si>
  <si>
    <t>Search_Parameter_Scope</t>
  </si>
  <si>
    <t>Study_Type</t>
  </si>
  <si>
    <t>Study_Intent</t>
  </si>
  <si>
    <t>Factor_Type</t>
  </si>
  <si>
    <t>Replication_Mode</t>
  </si>
  <si>
    <t>Replication_Strategy</t>
  </si>
  <si>
    <t>Blocking_Strategy</t>
  </si>
  <si>
    <t>Randomization_Strategy</t>
  </si>
  <si>
    <t>Random_Seed_Policy</t>
  </si>
  <si>
    <t>Block_Type</t>
  </si>
  <si>
    <t>Design_Cell_Status</t>
  </si>
  <si>
    <t>Aggregation_Level</t>
  </si>
  <si>
    <t>Uncertainty_Method</t>
  </si>
  <si>
    <t>Multiplicity_Handling</t>
  </si>
  <si>
    <t>Interaction_Reporting_Policy</t>
  </si>
  <si>
    <t>Study_Review_Disposition</t>
  </si>
  <si>
    <t>Study_Eligibility_Status</t>
  </si>
  <si>
    <t>Term</t>
  </si>
  <si>
    <t>Definition</t>
  </si>
  <si>
    <t>Target-definition</t>
  </si>
  <si>
    <t>Primary confirmatory</t>
  </si>
  <si>
    <t>Stage 1 - Target lock</t>
  </si>
  <si>
    <t>Critical</t>
  </si>
  <si>
    <t>Planned</t>
  </si>
  <si>
    <t>Chapter 3 Method choice</t>
  </si>
  <si>
    <t>Pilot</t>
  </si>
  <si>
    <t>Data governance</t>
  </si>
  <si>
    <t>all_subjects</t>
  </si>
  <si>
    <t>all_sessions</t>
  </si>
  <si>
    <t>pooled_all_tasks</t>
  </si>
  <si>
    <t>pooled_all_modalities</t>
  </si>
  <si>
    <t>as_is</t>
  </si>
  <si>
    <t>within_subject</t>
  </si>
  <si>
    <t>unknown</t>
  </si>
  <si>
    <t>not_checked</t>
  </si>
  <si>
    <t>method_choice</t>
  </si>
  <si>
    <t>subject</t>
  </si>
  <si>
    <t>none_or_within_subject</t>
  </si>
  <si>
    <t>low</t>
  </si>
  <si>
    <t>coarse_affect</t>
  </si>
  <si>
    <t>dataset_selection</t>
  </si>
  <si>
    <t>auto</t>
  </si>
  <si>
    <t>deterministic_grid</t>
  </si>
  <si>
    <t>parameter</t>
  </si>
  <si>
    <t>single_experiment</t>
  </si>
  <si>
    <t>exploratory</t>
  </si>
  <si>
    <t>categorical</t>
  </si>
  <si>
    <t>none</t>
  </si>
  <si>
    <t>fixed</t>
  </si>
  <si>
    <t>planned</t>
  </si>
  <si>
    <t>trial</t>
  </si>
  <si>
    <t>allowed</t>
  </si>
  <si>
    <t>eligible</t>
  </si>
  <si>
    <t>confirmatory</t>
  </si>
  <si>
    <t>Pre-specified, locked-pipeline evidence analysis supporting main thesis claims.</t>
  </si>
  <si>
    <t>Split-design</t>
  </si>
  <si>
    <t>Primary-supporting robustness</t>
  </si>
  <si>
    <t>Stage 2 - Split lock</t>
  </si>
  <si>
    <t>High</t>
  </si>
  <si>
    <t>Not started</t>
  </si>
  <si>
    <t>Chapter 4 Main results</t>
  </si>
  <si>
    <t>Locked</t>
  </si>
  <si>
    <t>Decision-support</t>
  </si>
  <si>
    <t>Monitoring</t>
  </si>
  <si>
    <t>Bias/fairness</t>
  </si>
  <si>
    <t>single_subject</t>
  </si>
  <si>
    <t>early_only</t>
  </si>
  <si>
    <t>passive_only</t>
  </si>
  <si>
    <t>audio_only</t>
  </si>
  <si>
    <t>balanced_subset</t>
  </si>
  <si>
    <t>cross_person</t>
  </si>
  <si>
    <t>balanced</t>
  </si>
  <si>
    <t>passed</t>
  </si>
  <si>
    <t>main_confirmatory</t>
  </si>
  <si>
    <t>confirmatory_within_person</t>
  </si>
  <si>
    <t>session</t>
  </si>
  <si>
    <t>across_subject</t>
  </si>
  <si>
    <t>A_to_B</t>
  </si>
  <si>
    <t>medium</t>
  </si>
  <si>
    <t>binary_valence_like</t>
  </si>
  <si>
    <t>feature_cache_build</t>
  </si>
  <si>
    <t>require_explicit_base</t>
  </si>
  <si>
    <t>optuna</t>
  </si>
  <si>
    <t>segment</t>
  </si>
  <si>
    <t>full_factorial</t>
  </si>
  <si>
    <t>boolean</t>
  </si>
  <si>
    <t>fixed_repeats</t>
  </si>
  <si>
    <t>by_subject</t>
  </si>
  <si>
    <t>fixed_order</t>
  </si>
  <si>
    <t>per_repeat</t>
  </si>
  <si>
    <t>dry_run</t>
  </si>
  <si>
    <t>cell</t>
  </si>
  <si>
    <t>standard_error</t>
  </si>
  <si>
    <t>bonferroni</t>
  </si>
  <si>
    <t>descriptive_only</t>
  </si>
  <si>
    <t>warning</t>
  </si>
  <si>
    <t>eligible_with_warnings</t>
  </si>
  <si>
    <t>decision-support</t>
  </si>
  <si>
    <t>Method-choice analysis performed before locking confirmatory settings.</t>
  </si>
  <si>
    <t>Model-comparison</t>
  </si>
  <si>
    <t>Secondary decision-support</t>
  </si>
  <si>
    <t>Stage 3 - Model lock</t>
  </si>
  <si>
    <t>Medium</t>
  </si>
  <si>
    <t>Running</t>
  </si>
  <si>
    <t>Chapter 4 Supporting robustness</t>
  </si>
  <si>
    <t>Confirmatory</t>
  </si>
  <si>
    <t>supported</t>
  </si>
  <si>
    <t>Verified</t>
  </si>
  <si>
    <t>Closed</t>
  </si>
  <si>
    <t>cross_person_transfer</t>
  </si>
  <si>
    <t>late_only</t>
  </si>
  <si>
    <t>emo_only</t>
  </si>
  <si>
    <t>video_only</t>
  </si>
  <si>
    <t>weighted_only</t>
  </si>
  <si>
    <t>temporal</t>
  </si>
  <si>
    <t>mild_imbalance</t>
  </si>
  <si>
    <t>supporting_robustness</t>
  </si>
  <si>
    <t>confirmatory_cross_person_transfer</t>
  </si>
  <si>
    <t>task</t>
  </si>
  <si>
    <t>session_level</t>
  </si>
  <si>
    <t>B_to_A</t>
  </si>
  <si>
    <t>high</t>
  </si>
  <si>
    <t>fine_emotion</t>
  </si>
  <si>
    <t>feature_matrix_load</t>
  </si>
  <si>
    <t>disallow</t>
  </si>
  <si>
    <t>xai</t>
  </si>
  <si>
    <t>fractional_factorial</t>
  </si>
  <si>
    <t>ordinal</t>
  </si>
  <si>
    <t>custom_blocks</t>
  </si>
  <si>
    <t>blocked_repeats</t>
  </si>
  <si>
    <t>by_task</t>
  </si>
  <si>
    <t>random_per_trial</t>
  </si>
  <si>
    <t>per_cell</t>
  </si>
  <si>
    <t>completed</t>
  </si>
  <si>
    <t>confidence_interval</t>
  </si>
  <si>
    <t>holm</t>
  </si>
  <si>
    <t>pre_specified_only</t>
  </si>
  <si>
    <t>blocked</t>
  </si>
  <si>
    <t>Hypothesis-generating extension outside confirmatory core.</t>
  </si>
  <si>
    <t>Preprocessing-feature</t>
  </si>
  <si>
    <t>Secondary decision-support / robustness</t>
  </si>
  <si>
    <t>Stage 4 - Feature/preprocessing lock</t>
  </si>
  <si>
    <t>Low</t>
  </si>
  <si>
    <t>Completed</t>
  </si>
  <si>
    <t>Chapter 5 Discussion</t>
  </si>
  <si>
    <t>Robustness</t>
  </si>
  <si>
    <t>Exploratory observation</t>
  </si>
  <si>
    <t>Appendix</t>
  </si>
  <si>
    <t>held_out_session</t>
  </si>
  <si>
    <t>rating_only</t>
  </si>
  <si>
    <t>audiovisual_only</t>
  </si>
  <si>
    <t>min_count_threshold</t>
  </si>
  <si>
    <t>weak_split_demo</t>
  </si>
  <si>
    <t>severe_imbalance</t>
  </si>
  <si>
    <t>failed</t>
  </si>
  <si>
    <t>discussion_limitations</t>
  </si>
  <si>
    <t>robustness_support</t>
  </si>
  <si>
    <t>modality</t>
  </si>
  <si>
    <t>task_level</t>
  </si>
  <si>
    <t>bidirectional</t>
  </si>
  <si>
    <t>critical</t>
  </si>
  <si>
    <t>custom_target</t>
  </si>
  <si>
    <t>spatial_validation</t>
  </si>
  <si>
    <t>custom_matrix</t>
  </si>
  <si>
    <t>numeric</t>
  </si>
  <si>
    <t>custom</t>
  </si>
  <si>
    <t>by_modality</t>
  </si>
  <si>
    <t>random_per_repeat</t>
  </si>
  <si>
    <t>fold</t>
  </si>
  <si>
    <t>bootstrap</t>
  </si>
  <si>
    <t>fdr</t>
  </si>
  <si>
    <t>all_two_way_descriptive</t>
  </si>
  <si>
    <t>data slice</t>
  </si>
  <si>
    <t>Explicit subset policy over subjects/sessions/tasks/modalities/labels used by runs.</t>
  </si>
  <si>
    <t>Exploratory extension</t>
  </si>
  <si>
    <t>Stage 5 - Confirmatory analysis</t>
  </si>
  <si>
    <t>On hold</t>
  </si>
  <si>
    <t>Exploratory</t>
  </si>
  <si>
    <t>Reproducibility</t>
  </si>
  <si>
    <t>custom_window</t>
  </si>
  <si>
    <t>task_specific_other</t>
  </si>
  <si>
    <t>diagnostic</t>
  </si>
  <si>
    <t>appendix_exploratory</t>
  </si>
  <si>
    <t>weak_split_demo_only</t>
  </si>
  <si>
    <t>subject_session</t>
  </si>
  <si>
    <t>modality_level</t>
  </si>
  <si>
    <t>model_fit</t>
  </si>
  <si>
    <t>group</t>
  </si>
  <si>
    <t>permutation</t>
  </si>
  <si>
    <t>hierarchical_gatekeeping</t>
  </si>
  <si>
    <t>grouping strategy</t>
  </si>
  <si>
    <t>Explicit train/test grouping logic and split family for claim-matched evaluation.</t>
  </si>
  <si>
    <t>Confirmatory core</t>
  </si>
  <si>
    <t>Stage 6 - Robustness analysis</t>
  </si>
  <si>
    <t>Dropped</t>
  </si>
  <si>
    <t>Other</t>
  </si>
  <si>
    <t>diagnostic_only</t>
  </si>
  <si>
    <t>task_modality</t>
  </si>
  <si>
    <t>task_modality_level</t>
  </si>
  <si>
    <t>interpretability</t>
  </si>
  <si>
    <t>pre_specified_contrasts_only</t>
  </si>
  <si>
    <t>weak split demo</t>
  </si>
  <si>
    <t>Intentionally weak split used only to demonstrate inflation risk; not confirmatory evidence.</t>
  </si>
  <si>
    <t>External exploratory</t>
  </si>
  <si>
    <t>Stage 7 - Exploratory extension</t>
  </si>
  <si>
    <t>exploratory_only</t>
  </si>
  <si>
    <t>custom_group</t>
  </si>
  <si>
    <t>mixed_level</t>
  </si>
  <si>
    <t>evaluation</t>
  </si>
  <si>
    <t>construct validity</t>
  </si>
  <si>
    <t>How well labels/features operationalize intended constructs.</t>
  </si>
  <si>
    <t>internal validity</t>
  </si>
  <si>
    <t>Protection against confounds and leakage in design and execution.</t>
  </si>
  <si>
    <t>statistical conclusion validity</t>
  </si>
  <si>
    <t>Reliability of metric-based inference.</t>
  </si>
  <si>
    <t>external validity</t>
  </si>
  <si>
    <t>Extent findings transfer to other data contexts.</t>
  </si>
  <si>
    <t>leakage</t>
  </si>
  <si>
    <t>Train-test information contamination that inflates apparent performance.</t>
  </si>
  <si>
    <t>domain shift</t>
  </si>
  <si>
    <t>Distribution shift between train and test domains.</t>
  </si>
  <si>
    <t>interpretability stability</t>
  </si>
  <si>
    <t>Consistency of model-behavior explanation signals across folds.</t>
  </si>
  <si>
    <t>Experiment_ID</t>
  </si>
  <si>
    <t>Chapter</t>
  </si>
  <si>
    <t>Section</t>
  </si>
  <si>
    <t>Purpose_in_Thesis</t>
  </si>
  <si>
    <t>Main_or_Supporting</t>
  </si>
  <si>
    <t>Method_Choice_or_Method_Application_or_Discussion</t>
  </si>
  <si>
    <t>What_Claim_or_Decision_It_Supports</t>
  </si>
  <si>
    <t>Notes_for_Writing</t>
  </si>
  <si>
    <t>E01</t>
  </si>
  <si>
    <t>3.3 Target definition</t>
  </si>
  <si>
    <t>Target granularity method choice</t>
  </si>
  <si>
    <t>Supporting</t>
  </si>
  <si>
    <t>Method choice</t>
  </si>
  <si>
    <t>Locks target definition</t>
  </si>
  <si>
    <t>Reference Decision D01</t>
  </si>
  <si>
    <t>E02</t>
  </si>
  <si>
    <t>3.3 Task strategy</t>
  </si>
  <si>
    <t>Task pooling method choice</t>
  </si>
  <si>
    <t>Task pooling policy</t>
  </si>
  <si>
    <t>E03</t>
  </si>
  <si>
    <t>3.3 Modality strategy</t>
  </si>
  <si>
    <t>Modality pooling method choice</t>
  </si>
  <si>
    <t>Modality pooling policy</t>
  </si>
  <si>
    <t>E04</t>
  </si>
  <si>
    <t>3.4 Split design</t>
  </si>
  <si>
    <t>Split-strength stress evidence</t>
  </si>
  <si>
    <t>Justifies strict split</t>
  </si>
  <si>
    <t>E05</t>
  </si>
  <si>
    <t>3.4 Transfer protocol</t>
  </si>
  <si>
    <t>Cross-person framing</t>
  </si>
  <si>
    <t>Directional transfer design</t>
  </si>
  <si>
    <t>E06</t>
  </si>
  <si>
    <t>3.5 Model family</t>
  </si>
  <si>
    <t>Model family selection</t>
  </si>
  <si>
    <t>Final model family lock</t>
  </si>
  <si>
    <t>E07</t>
  </si>
  <si>
    <t>3.5 Weighting policy</t>
  </si>
  <si>
    <t>Class weighting decision</t>
  </si>
  <si>
    <t>Weighting policy lock</t>
  </si>
  <si>
    <t>E08</t>
  </si>
  <si>
    <t>3.5 Tuning policy</t>
  </si>
  <si>
    <t>Hyperparameter policy</t>
  </si>
  <si>
    <t>Fixed vs tuning decision</t>
  </si>
  <si>
    <t>E09</t>
  </si>
  <si>
    <t>3.2 Feature space</t>
  </si>
  <si>
    <t>Whole-brain vs ROI decision</t>
  </si>
  <si>
    <t>Feature representation lock</t>
  </si>
  <si>
    <t>E10</t>
  </si>
  <si>
    <t>3.2 Dimensionality</t>
  </si>
  <si>
    <t>Reduction strategy decision</t>
  </si>
  <si>
    <t>Complexity/stability tradeoff</t>
  </si>
  <si>
    <t>E11</t>
  </si>
  <si>
    <t>3.2 Scaling</t>
  </si>
  <si>
    <t>Scaling sensitivity decision</t>
  </si>
  <si>
    <t>Scaling policy lock</t>
  </si>
  <si>
    <t>E12</t>
  </si>
  <si>
    <t>4.3 Robustness</t>
  </si>
  <si>
    <t>Permutation support</t>
  </si>
  <si>
    <t>Method application</t>
  </si>
  <si>
    <t>Beyond-chance support</t>
  </si>
  <si>
    <t>E13</t>
  </si>
  <si>
    <t>Trivial baseline support</t>
  </si>
  <si>
    <t>Non-trivial value support</t>
  </si>
  <si>
    <t>E14</t>
  </si>
  <si>
    <t>Interpretability stability support</t>
  </si>
  <si>
    <t>Model-behavior robustness</t>
  </si>
  <si>
    <t>No localization claim</t>
  </si>
  <si>
    <t>E15</t>
  </si>
  <si>
    <t>5.2 Limitations</t>
  </si>
  <si>
    <t>Subset sensitivity discussion</t>
  </si>
  <si>
    <t>Discussion</t>
  </si>
  <si>
    <t>Sensitivity/limitations support</t>
  </si>
  <si>
    <t>4.1 Main results</t>
  </si>
  <si>
    <t>Within-person confirmatory evidence</t>
  </si>
  <si>
    <t>Main</t>
  </si>
  <si>
    <t>Primary thesis claim</t>
  </si>
  <si>
    <t>E17</t>
  </si>
  <si>
    <t>4.2 Transfer results</t>
  </si>
  <si>
    <t>Cross-person transfer evidence</t>
  </si>
  <si>
    <t>Secondary transfer claim</t>
  </si>
  <si>
    <t>E18</t>
  </si>
  <si>
    <t>A. External exploratory</t>
  </si>
  <si>
    <t>External split replication</t>
  </si>
  <si>
    <t>Exploratory external consistency</t>
  </si>
  <si>
    <t>E19</t>
  </si>
  <si>
    <t>External model portability</t>
  </si>
  <si>
    <t>Exploratory portability</t>
  </si>
  <si>
    <t>Confound diagnostics for non-target structure</t>
  </si>
  <si>
    <t>Interpretation-boundary support</t>
  </si>
  <si>
    <t>Use to discuss whether task/modality/session structure may compete with the target interpretation.</t>
  </si>
  <si>
    <t>E21</t>
  </si>
  <si>
    <t>Leave-task-out generalization</t>
  </si>
  <si>
    <t>Task-generalization robustness</t>
  </si>
  <si>
    <t>Report only as supporting robustness, not as the primary split.</t>
  </si>
  <si>
    <t>E22</t>
  </si>
  <si>
    <t>Leave-modality-out generalization</t>
  </si>
  <si>
    <t>Modality-generalization robustness</t>
  </si>
  <si>
    <t>Session-influence / subset sensitivity</t>
  </si>
  <si>
    <t>Use to identify over-reliance on specific sessions or subsets.</t>
  </si>
  <si>
    <t>A. Reproducibility audit</t>
  </si>
  <si>
    <t>Frozen rerun reproducibility</t>
  </si>
  <si>
    <t>Operational reproducibility support</t>
  </si>
  <si>
    <t>Useful for supervisor review, appendix, and reflection document.</t>
  </si>
  <si>
    <t>Short_Title</t>
  </si>
  <si>
    <t>Final_Pipeline_Version</t>
  </si>
  <si>
    <t>Claim_Supported</t>
  </si>
  <si>
    <t>Eligible_to_Run</t>
  </si>
  <si>
    <t>Confirmatory_Eligible</t>
  </si>
  <si>
    <t>Main_Result_Summary</t>
  </si>
  <si>
    <t>Robustness_Status</t>
  </si>
  <si>
    <t>Permutation test experiment</t>
  </si>
  <si>
    <t>To be fixed after freeze lock</t>
  </si>
  <si>
    <t>Chance-distinguishability support</t>
  </si>
  <si>
    <t>YES</t>
  </si>
  <si>
    <t>NO</t>
  </si>
  <si>
    <t>Trivial baseline experiment</t>
  </si>
  <si>
    <t>Non-trivial predictive value support</t>
  </si>
  <si>
    <t>Stability of explanation experiment</t>
  </si>
  <si>
    <t>Model-behavior robustness support</t>
  </si>
  <si>
    <t>Final within-person confirmatory analysis</t>
  </si>
  <si>
    <t>Primary within-person claim</t>
  </si>
  <si>
    <t>Final cross-person transfer analysis</t>
  </si>
  <si>
    <t>Confound diagnostics package</t>
  </si>
  <si>
    <t>Supporting robustness package v1</t>
  </si>
  <si>
    <t>Leave-task-out robustness</t>
  </si>
  <si>
    <t>Task-generalization support</t>
  </si>
  <si>
    <t>Leave-modality-out robustness</t>
  </si>
  <si>
    <t>Modality-generalization support</t>
  </si>
  <si>
    <t>Session-influence sensitivity</t>
  </si>
  <si>
    <t>Subset/jackknife sensitivity support</t>
  </si>
  <si>
    <t>Reproducibility rerun audit</t>
  </si>
  <si>
    <t>Decision_ID</t>
  </si>
  <si>
    <t>Decision_Topic</t>
  </si>
  <si>
    <t>Candidate_Options</t>
  </si>
  <si>
    <t>Evidence_Experiments</t>
  </si>
  <si>
    <t>Decision_Criteria</t>
  </si>
  <si>
    <t>Chosen_Option</t>
  </si>
  <si>
    <t>Why_Chosen</t>
  </si>
  <si>
    <t>Why_Not_Others</t>
  </si>
  <si>
    <t>Risks_or_Tradeoffs</t>
  </si>
  <si>
    <t>Grounding_Section_or_Source_Packet</t>
  </si>
  <si>
    <t>Date_Locked</t>
  </si>
  <si>
    <t>D01</t>
  </si>
  <si>
    <t>Final target choice</t>
  </si>
  <si>
    <t>fine emotion; coarse_affect; binary valence-like</t>
  </si>
  <si>
    <t>E01,E02,E03</t>
  </si>
  <si>
    <t>Construct validity + class balance + per-subject/session sufficiency + learnability under strict split</t>
  </si>
  <si>
    <t>To be locked after method-choice evidence review</t>
  </si>
  <si>
    <t>Tradeoff between construct validity, label granularity, class sufficiency, and learnability</t>
  </si>
  <si>
    <t>To be linked after background/method revision</t>
  </si>
  <si>
    <t>Chapter 3 method lock feeding Chapter 4 confirmatory analyses</t>
  </si>
  <si>
    <t>D02</t>
  </si>
  <si>
    <t>Final split design</t>
  </si>
  <si>
    <t>within_subject_loso_session; weaker alternatives for stress testing</t>
  </si>
  <si>
    <t>E04,E05</t>
  </si>
  <si>
    <t>Prefer strictest split matching claim while documenting weak-split inflation</t>
  </si>
  <si>
    <t>To be locked after split-strength evidence review</t>
  </si>
  <si>
    <t>Weak split inflation risk</t>
  </si>
  <si>
    <t>To be linked after method section split rationale update</t>
  </si>
  <si>
    <t>Defines primary inference logic and leakage controls</t>
  </si>
  <si>
    <t>D03</t>
  </si>
  <si>
    <t>Final model family</t>
  </si>
  <si>
    <t>ridge; logreg; linearsvc</t>
  </si>
  <si>
    <t>Simplicity + robustness + comparable performance</t>
  </si>
  <si>
    <t>To be locked after model comparison</t>
  </si>
  <si>
    <t>Complexity vs stability tradeoff</t>
  </si>
  <si>
    <t>To be linked after model-choice subsection revision</t>
  </si>
  <si>
    <t>Sets final confirmatory model family</t>
  </si>
  <si>
    <t>D04</t>
  </si>
  <si>
    <t>Final weighting policy</t>
  </si>
  <si>
    <t>No class weighting; balanced weighting</t>
  </si>
  <si>
    <t>Minority-class fairness gain without instability</t>
  </si>
  <si>
    <t>To be locked after weighting sensitivity</t>
  </si>
  <si>
    <t>Fairness-stability tension</t>
  </si>
  <si>
    <t>To be linked after class-imbalance discussion draft</t>
  </si>
  <si>
    <t>Controls fairness assumptions in final pipeline</t>
  </si>
  <si>
    <t>D05</t>
  </si>
  <si>
    <t>Final tuning policy</t>
  </si>
  <si>
    <t>Fixed explicit settings; light nested tuning</t>
  </si>
  <si>
    <t>Keep fixed unless clear stable gain from tuning</t>
  </si>
  <si>
    <t>To be locked after tuning strategy review</t>
  </si>
  <si>
    <t>Overfitting and complexity risk with tuning</t>
  </si>
  <si>
    <t>To be linked after reproducibility subsection update</t>
  </si>
  <si>
    <t>Determines model configuration policy</t>
  </si>
  <si>
    <t>D06</t>
  </si>
  <si>
    <t>Final feature representation</t>
  </si>
  <si>
    <t>Whole-brain masked voxels; theory-justified ROI</t>
  </si>
  <si>
    <t>E09,E10</t>
  </si>
  <si>
    <t>Validity + stability + complexity tradeoff</t>
  </si>
  <si>
    <t>To be locked after feature-space evidence review</t>
  </si>
  <si>
    <t>Representation choice impacts validity and interpretability</t>
  </si>
  <si>
    <t>To be linked after feature-method section update</t>
  </si>
  <si>
    <t>Locks final feature representation</t>
  </si>
  <si>
    <t>D07</t>
  </si>
  <si>
    <t>Final scaling policy</t>
  </si>
  <si>
    <t>No scaling; standard/robust scaling (train-only)</t>
  </si>
  <si>
    <t>Train-only scaling with best stability and simplicity</t>
  </si>
  <si>
    <t>To be locked after scaling sensitivity</t>
  </si>
  <si>
    <t>Scaling can alter class boundaries</t>
  </si>
  <si>
    <t>To be linked after preprocessing subsection revision</t>
  </si>
  <si>
    <t>Locks preprocessing policy</t>
  </si>
  <si>
    <t>Use of external data</t>
  </si>
  <si>
    <t>No external data; external replication/portability</t>
  </si>
  <si>
    <t>E18,E19</t>
  </si>
  <si>
    <t>External work remains exploratory and non-core</t>
  </si>
  <si>
    <t>To be decided after confirmatory core completion</t>
  </si>
  <si>
    <t>Comparability and external validity limits</t>
  </si>
  <si>
    <t>To be linked after discussion/limitations revision</t>
  </si>
  <si>
    <t>Controls exploratory external scope and appendix use</t>
  </si>
  <si>
    <t>D09</t>
  </si>
  <si>
    <t>Confound-risk interpretation rule</t>
  </si>
  <si>
    <t>No dedicated confound diagnostics; dedicated diagnostics on task/modality/session-proxy structure</t>
  </si>
  <si>
    <t>Keep main claim narrow unless diagnostics show non-target structure is not dominating the narrative</t>
  </si>
  <si>
    <t>To be locked after confound-diagnostic review</t>
  </si>
  <si>
    <t>Strong non-target decodability may weaken interpretation</t>
  </si>
  <si>
    <t>To be linked after robustness subsection draft</t>
  </si>
  <si>
    <t>Sets boundaries for interpreting affect-related signal vs nuisance structure</t>
  </si>
  <si>
    <t>D10</t>
  </si>
  <si>
    <t>Temporal and generalization robustness rule</t>
  </si>
  <si>
    <t>Standard LOSO only; LOSO plus temporal/task/modality holdout checks</t>
  </si>
  <si>
    <t>Use stronger phrasing only if robustness checks remain directionally supportive</t>
  </si>
  <si>
    <t>To be locked after robustness package review</t>
  </si>
  <si>
    <t>Temporal drift or held-out-domain failure may narrow claim scope</t>
  </si>
  <si>
    <t>To be linked after Chapter 4 robustness and Chapter 5 limitations drafts</t>
  </si>
  <si>
    <t>Controls how strongly generalization is described in thesis text</t>
  </si>
  <si>
    <t>D11</t>
  </si>
  <si>
    <t>Reproducibility audit rule</t>
  </si>
  <si>
    <t>Single official run; repeated frozen rerun audit</t>
  </si>
  <si>
    <t>Require frozen rerun agreement before final Chapter 4 package is treated as defense-ready</t>
  </si>
  <si>
    <t>To be locked after reproducibility audit</t>
  </si>
  <si>
    <t>Operational mismatch weakens trustworthiness of final package</t>
  </si>
  <si>
    <t>To be linked after methods appendix / reflection update</t>
  </si>
  <si>
    <t>Controls readiness of the final evidence package</t>
  </si>
  <si>
    <t>Run_ID</t>
  </si>
  <si>
    <t>Run_Date</t>
  </si>
  <si>
    <t>Dataset_Name</t>
  </si>
  <si>
    <t>Data_Subset</t>
  </si>
  <si>
    <t>Data_Slice_ID</t>
  </si>
  <si>
    <t>Grouping_Strategy_ID</t>
  </si>
  <si>
    <t>Code_Commit_or_Version</t>
  </si>
  <si>
    <t>Config_File_or_Path</t>
  </si>
  <si>
    <t>Random_Seed</t>
  </si>
  <si>
    <t>Target</t>
  </si>
  <si>
    <t>Split_ID_or_Fold_Definition</t>
  </si>
  <si>
    <t>Train_Group_Rule</t>
  </si>
  <si>
    <t>Test_Group_Rule</t>
  </si>
  <si>
    <t>Session_Coverage</t>
  </si>
  <si>
    <t>Task_Coverage</t>
  </si>
  <si>
    <t>Modality_Coverage</t>
  </si>
  <si>
    <t>Model</t>
  </si>
  <si>
    <t>Feature_Set</t>
  </si>
  <si>
    <t>Sample_Count</t>
  </si>
  <si>
    <t>Class_Counts</t>
  </si>
  <si>
    <t>Primary_Metric_Value</t>
  </si>
  <si>
    <t>Secondary_Metric_1</t>
  </si>
  <si>
    <t>Secondary_Metric_2</t>
  </si>
  <si>
    <t>Robustness_Output_Summary</t>
  </si>
  <si>
    <t>Result_Summary</t>
  </si>
  <si>
    <t>Preliminary_Interpretation</t>
  </si>
  <si>
    <t>Artifact_Path</t>
  </si>
  <si>
    <t>Data Profile and Imbalance Diagnostics</t>
  </si>
  <si>
    <t>How to use</t>
  </si>
  <si>
    <t>Paste exported counts into Count columns (or maintain manually). Formulas compute shares, imbalance flags, and sparsity flags.</t>
  </si>
  <si>
    <t>Threshold controls</t>
  </si>
  <si>
    <t>Profile summary</t>
  </si>
  <si>
    <t>Sparse count threshold</t>
  </si>
  <si>
    <t>Total_subject_samples</t>
  </si>
  <si>
    <t>Mild imbalance ratio (max/min)</t>
  </si>
  <si>
    <t>Total_session_samples</t>
  </si>
  <si>
    <t>Severe imbalance ratio (max/min)</t>
  </si>
  <si>
    <t>Total_task_samples</t>
  </si>
  <si>
    <t>Total_modality_samples</t>
  </si>
  <si>
    <t>Counts by subject</t>
  </si>
  <si>
    <t>Subject_ID</t>
  </si>
  <si>
    <t>Count</t>
  </si>
  <si>
    <t>Share_of_Block</t>
  </si>
  <si>
    <t>Flag</t>
  </si>
  <si>
    <t>sub-001</t>
  </si>
  <si>
    <t>sub-002</t>
  </si>
  <si>
    <t>sub-003</t>
  </si>
  <si>
    <t>sub-004</t>
  </si>
  <si>
    <t>sub-005</t>
  </si>
  <si>
    <t>sub-006</t>
  </si>
  <si>
    <t>sub-007</t>
  </si>
  <si>
    <t>sub-008</t>
  </si>
  <si>
    <t>Counts by session</t>
  </si>
  <si>
    <t>Session_ID</t>
  </si>
  <si>
    <t>ses-01</t>
  </si>
  <si>
    <t>ses-02</t>
  </si>
  <si>
    <t>ses-03</t>
  </si>
  <si>
    <t>ses-04</t>
  </si>
  <si>
    <t>ses-05</t>
  </si>
  <si>
    <t>ses-06</t>
  </si>
  <si>
    <t>ses-07</t>
  </si>
  <si>
    <t>ses-08</t>
  </si>
  <si>
    <t>ses-09</t>
  </si>
  <si>
    <t>ses-10</t>
  </si>
  <si>
    <t>Counts by task</t>
  </si>
  <si>
    <t>Task_ID</t>
  </si>
  <si>
    <t>custom_task_1</t>
  </si>
  <si>
    <t>custom_task_2</t>
  </si>
  <si>
    <t>Counts by modality</t>
  </si>
  <si>
    <t>Modality_ID</t>
  </si>
  <si>
    <t>custom_modality_1</t>
  </si>
  <si>
    <t>custom_modality_2</t>
  </si>
  <si>
    <t>Counts by target/class</t>
  </si>
  <si>
    <t>Target_or_Class_ID</t>
  </si>
  <si>
    <t>coarse_affect_neg</t>
  </si>
  <si>
    <t>coarse_affect_neu</t>
  </si>
  <si>
    <t>coarse_affect_pos</t>
  </si>
  <si>
    <t>binary_neg</t>
  </si>
  <si>
    <t>binary_pos</t>
  </si>
  <si>
    <t>custom_class_1</t>
  </si>
  <si>
    <t>Counts by Data_Slice_ID</t>
  </si>
  <si>
    <t>Strategy_Name</t>
  </si>
  <si>
    <t>Train_Group_Unit</t>
  </si>
  <si>
    <t>Test_Group_Unit</t>
  </si>
  <si>
    <t>Train_Rule</t>
  </si>
  <si>
    <t>Test_Rule</t>
  </si>
  <si>
    <t>Leakage_Safeguard</t>
  </si>
  <si>
    <t>Suitable_For</t>
  </si>
  <si>
    <t>Not_Suitable_For</t>
  </si>
  <si>
    <t>Interpretation_Boundary</t>
  </si>
  <si>
    <t>Typical_Experiments</t>
  </si>
  <si>
    <t>GS01</t>
  </si>
  <si>
    <t>within-subject LOSO-session</t>
  </si>
  <si>
    <t>Per subject: train on all but one session.</t>
  </si>
  <si>
    <t>Per subject: test on held-out session.</t>
  </si>
  <si>
    <t>No held-out session rows in any train-side fit/tune stage.</t>
  </si>
  <si>
    <t>Supports within-person held-out-session claim only.</t>
  </si>
  <si>
    <t>E04,E16</t>
  </si>
  <si>
    <t>GS02</t>
  </si>
  <si>
    <t>pooled-task within-subject LOSO-session</t>
  </si>
  <si>
    <t>Within each subject, pool tasks and hold out one session.</t>
  </si>
  <si>
    <t>Evaluate on held-out session with pooled task scope.</t>
  </si>
  <si>
    <t>No test-session information in pooled train transforms.</t>
  </si>
  <si>
    <t>Within-person conclusion under pooled task policy.</t>
  </si>
  <si>
    <t>E02,E16</t>
  </si>
  <si>
    <t>GS03</t>
  </si>
  <si>
    <t>task-specific within-subject LOSO-session</t>
  </si>
  <si>
    <t>Within each subject/task, hold out one session.</t>
  </si>
  <si>
    <t>Test on same-task held-out session.</t>
  </si>
  <si>
    <t>Task-specific split manifests and train-only preprocessing.</t>
  </si>
  <si>
    <t>Task-conditioned within-person evidence only.</t>
  </si>
  <si>
    <t>E02,E15</t>
  </si>
  <si>
    <t>GS04</t>
  </si>
  <si>
    <t>modality-specific within-subject LOSO-session</t>
  </si>
  <si>
    <t>Within each subject/modality, hold out one session.</t>
  </si>
  <si>
    <t>Test on same-modality held-out session.</t>
  </si>
  <si>
    <t>Modality-specific fold manifests with strict train-only fit.</t>
  </si>
  <si>
    <t>Modality-conditioned within-person evidence only.</t>
  </si>
  <si>
    <t>E03,E15</t>
  </si>
  <si>
    <t>GS05</t>
  </si>
  <si>
    <t>early-train late-test</t>
  </si>
  <si>
    <t>Train on pre-defined early sessions.</t>
  </si>
  <si>
    <t>Test on disjoint late sessions.</t>
  </si>
  <si>
    <t>Fixed temporal boundary and no late-session tuning.</t>
  </si>
  <si>
    <t>Temporal transfer sensitivity, not the primary confirmatory claim.</t>
  </si>
  <si>
    <t>E04,E15</t>
  </si>
  <si>
    <t>GS06</t>
  </si>
  <si>
    <t>frozen cross-person transfer A-&gt;B</t>
  </si>
  <si>
    <t>Fit on subject A only (frozen pipeline).</t>
  </si>
  <si>
    <t>Evaluate on subject B without refit/re-tune.</t>
  </si>
  <si>
    <t>No test-subject fitting; strict direction lock.</t>
  </si>
  <si>
    <t>Directional transfer under domain shift only.</t>
  </si>
  <si>
    <t>E05,E17</t>
  </si>
  <si>
    <t>GS07</t>
  </si>
  <si>
    <t>frozen cross-person transfer B-&gt;A</t>
  </si>
  <si>
    <t>Fit on subject B only (frozen pipeline).</t>
  </si>
  <si>
    <t>Evaluate on subject A without refit/re-tune.</t>
  </si>
  <si>
    <t>GS08</t>
  </si>
  <si>
    <t>weak split inflation demo</t>
  </si>
  <si>
    <t>Use intentionally weaker split variant for contrast.</t>
  </si>
  <si>
    <t>Evaluate inflation magnitude vs strict split.</t>
  </si>
  <si>
    <t>Tag as weak split and exclude from confirmatory claims.</t>
  </si>
  <si>
    <t>Inflation demonstration only; non-confirmatory.</t>
  </si>
  <si>
    <t>Permitted only as cautionary demonstration.</t>
  </si>
  <si>
    <t>GS09</t>
  </si>
  <si>
    <t>task x modality diagnostic split</t>
  </si>
  <si>
    <t>Train within selected task/modality intersections.</t>
  </si>
  <si>
    <t>Test on matched or held-out intersections per protocol.</t>
  </si>
  <si>
    <t>Pre-registered intersection mapping and no adaptive relabeling.</t>
  </si>
  <si>
    <t>Diagnostic sensitivity only; not core evidence.</t>
  </si>
  <si>
    <t>GS10</t>
  </si>
  <si>
    <t>leave-task-out within subject</t>
  </si>
  <si>
    <t>Train on all but one task within a subject.</t>
  </si>
  <si>
    <t>Evaluate on the held-out task only.</t>
  </si>
  <si>
    <t>Held-out task excluded from all train-side fitting and tuning.</t>
  </si>
  <si>
    <t>Task-generalization robustness only; not the primary confirmatory claim.</t>
  </si>
  <si>
    <t>Use a pre-registered held-out task per run.</t>
  </si>
  <si>
    <t>GS11</t>
  </si>
  <si>
    <t>leave-modality-out within subject</t>
  </si>
  <si>
    <t>Train on all but one modality within a subject.</t>
  </si>
  <si>
    <t>Evaluate on the held-out modality only.</t>
  </si>
  <si>
    <t>Held-out modality excluded from all train-side fitting and tuning.</t>
  </si>
  <si>
    <t>Modality-generalization robustness only; not the primary confirmatory claim.</t>
  </si>
  <si>
    <t>Use a pre-registered held-out modality per run.</t>
  </si>
  <si>
    <t>GS12</t>
  </si>
  <si>
    <t>session-influence exclusion</t>
  </si>
  <si>
    <t>Train after omitting one designated session from the training pool.</t>
  </si>
  <si>
    <t>Evaluate against the standard held-out-session schedule or designated sensitivity schedule.</t>
  </si>
  <si>
    <t>Omitted session never re-enters train-side transforms.</t>
  </si>
  <si>
    <t>Sensitivity / jackknife robustness only.</t>
  </si>
  <si>
    <t>Use one omission at a time.</t>
  </si>
  <si>
    <t>GS13</t>
  </si>
  <si>
    <t>frozen reproducibility rerun</t>
  </si>
  <si>
    <t>audit</t>
  </si>
  <si>
    <t>run</t>
  </si>
  <si>
    <t>run_level</t>
  </si>
  <si>
    <t>Repeat the same frozen confirmatory configuration without changing code or parameters.</t>
  </si>
  <si>
    <t>Compare summary outputs and artifact hashes across reruns.</t>
  </si>
  <si>
    <t>Frozen config hash and artifact manifest must match expected values.</t>
  </si>
  <si>
    <t>Operational reproducibility evidence only.</t>
  </si>
  <si>
    <t>Appendix / Method audit</t>
  </si>
  <si>
    <t>Supports software-engineering trustworthiness narrative.</t>
  </si>
  <si>
    <t>Slice_Name</t>
  </si>
  <si>
    <t>Purpose</t>
  </si>
  <si>
    <t>Time_Window</t>
  </si>
  <si>
    <t>Label_Set</t>
  </si>
  <si>
    <t>Inclusion_Rule</t>
  </si>
  <si>
    <t>Exclusion_Rule</t>
  </si>
  <si>
    <t>Minimum_Samples_Rule</t>
  </si>
  <si>
    <t>Leakage_Risk</t>
  </si>
  <si>
    <t>Valid_Use_Case</t>
  </si>
  <si>
    <t>DS01</t>
  </si>
  <si>
    <t>All subjects, all sessions, pooled task, pooled modality, coarse_affect</t>
  </si>
  <si>
    <t>Global baseline for target/split/model method-choice comparisons.</t>
  </si>
  <si>
    <t>full_study_window</t>
  </si>
  <si>
    <t>All QC-passed repeated-session beta maps with valid labels.</t>
  </si>
  <si>
    <t>Drop failed-preprocessing rows and missing targets.</t>
  </si>
  <si>
    <t>Prefer &gt;=20 per class before claim-level interpretation.</t>
  </si>
  <si>
    <t>DS02</t>
  </si>
  <si>
    <t>Subject-specific pooled-task pooled-modality</t>
  </si>
  <si>
    <t>Primary within-person held-out-session claim support.</t>
  </si>
  <si>
    <t>One subject at a time with all eligible sessions.</t>
  </si>
  <si>
    <t>No cross-subject pooling inside fold-level fit.</t>
  </si>
  <si>
    <t>Per-class floor checked per subject.</t>
  </si>
  <si>
    <t>Matches held-out-session inference boundary.</t>
  </si>
  <si>
    <t>DS03</t>
  </si>
  <si>
    <t>Task-specific pooled-modality</t>
  </si>
  <si>
    <t>Task pooling vs task-specific method-choice and diagnostics.</t>
  </si>
  <si>
    <t>coarse_affect by task</t>
  </si>
  <si>
    <t>Restrict each run to one task family.</t>
  </si>
  <si>
    <t>Exclude off-task records for that run.</t>
  </si>
  <si>
    <t>Minimum counts checked per task-specific slice.</t>
  </si>
  <si>
    <t>DS04</t>
  </si>
  <si>
    <t>Modality-specific pooled-task</t>
  </si>
  <si>
    <t>Modality pooling vs modality-specific method-choice checks.</t>
  </si>
  <si>
    <t>One modality family per run (audio/video/audiovisual variants).</t>
  </si>
  <si>
    <t>Exclude other modalities in each modality-specific run.</t>
  </si>
  <si>
    <t>Check sample sufficiency per modality variant.</t>
  </si>
  <si>
    <t>Seed modality is audio_only; clone row for other modalities.</t>
  </si>
  <si>
    <t>DS05</t>
  </si>
  <si>
    <t>Subject-specific task x modality subset</t>
  </si>
  <si>
    <t>Fine-grained diagnostic sensitivity slices.</t>
  </si>
  <si>
    <t>Single subject + selected task + selected modality combination.</t>
  </si>
  <si>
    <t>Exclude all records outside the chosen intersection.</t>
  </si>
  <si>
    <t>Hard floor required before reporting.</t>
  </si>
  <si>
    <t>DS06</t>
  </si>
  <si>
    <t>Early sessions only</t>
  </si>
  <si>
    <t>Temporal drift checks and early-to-late transfer design.</t>
  </si>
  <si>
    <t>early_window</t>
  </si>
  <si>
    <t>Use sessions pre-registered as early window.</t>
  </si>
  <si>
    <t>Exclude late-window sessions.</t>
  </si>
  <si>
    <t>Check class floor by temporal window.</t>
  </si>
  <si>
    <t>DS07</t>
  </si>
  <si>
    <t>Late sessions only</t>
  </si>
  <si>
    <t>late_window</t>
  </si>
  <si>
    <t>Use sessions pre-registered as late window.</t>
  </si>
  <si>
    <t>Exclude early-window sessions.</t>
  </si>
  <si>
    <t>DS08</t>
  </si>
  <si>
    <t>Balanced subset only</t>
  </si>
  <si>
    <t>Imbalance-aware sensitivity diagnostics.</t>
  </si>
  <si>
    <t>Only include rows passing balancing policy.</t>
  </si>
  <si>
    <t>Exclude classes below predefined minimum count floor.</t>
  </si>
  <si>
    <t>Set explicit class floor in analysis config.</t>
  </si>
  <si>
    <t>Do not replace confirmatory as-is evidence with this slice.</t>
  </si>
  <si>
    <t>DS09</t>
  </si>
  <si>
    <t>Early-train to late-test paired temporal slice</t>
  </si>
  <si>
    <t>Stronger temporal-drift robustness using early sessions for training and late sessions for testing.</t>
  </si>
  <si>
    <t>early_train_late_test_window</t>
  </si>
  <si>
    <t>Use only sessions pre-registered as early training window.</t>
  </si>
  <si>
    <t>Exclude late-window sessions from the training slice definition itself.</t>
  </si>
  <si>
    <t>Need both early and late windows with class support.</t>
  </si>
  <si>
    <t>Pair with GS05 temporal grouping rule.</t>
  </si>
  <si>
    <t>DS10</t>
  </si>
  <si>
    <t>Late-train to early-test paired temporal slice</t>
  </si>
  <si>
    <t>Reverse-direction temporal-drift robustness.</t>
  </si>
  <si>
    <t>late_train_early_test_window</t>
  </si>
  <si>
    <t>Use only sessions pre-registered as late training window.</t>
  </si>
  <si>
    <t>Exclude early-window sessions from the training slice definition itself.</t>
  </si>
  <si>
    <t>Need both windows with class support.</t>
  </si>
  <si>
    <t>Reverse direction of DS09.</t>
  </si>
  <si>
    <t>DS11</t>
  </si>
  <si>
    <t>Leave-one-task-out candidate slice</t>
  </si>
  <si>
    <t>Task-generalization robustness package.</t>
  </si>
  <si>
    <t>held_out_task</t>
  </si>
  <si>
    <t>Train on all eligible tasks except the designated held-out task.</t>
  </si>
  <si>
    <t>Exclude held-out task from training data and use it only in test partition.</t>
  </si>
  <si>
    <t>Do not report if the held-out task has inadequate class counts.</t>
  </si>
  <si>
    <t>Pair with GS10.</t>
  </si>
  <si>
    <t>DS12</t>
  </si>
  <si>
    <t>Leave-one-modality-out candidate slice</t>
  </si>
  <si>
    <t>Modality-generalization robustness package.</t>
  </si>
  <si>
    <t>held_out_modality</t>
  </si>
  <si>
    <t>Train on all eligible modalities except the designated held-out modality.</t>
  </si>
  <si>
    <t>Exclude held-out modality from training data and use it only in test partition.</t>
  </si>
  <si>
    <t>Do not report if the held-out modality has inadequate class counts.</t>
  </si>
  <si>
    <t>Pair with GS11.</t>
  </si>
  <si>
    <t>DS13</t>
  </si>
  <si>
    <t>Session-influence / subset sensitivity slice</t>
  </si>
  <si>
    <t>Jackknife-style session omission and subset influence diagnostics.</t>
  </si>
  <si>
    <t>Create reruns with one session or one designated subset omitted from the training pool.</t>
  </si>
  <si>
    <t>Exclude only the pre-registered omitted subset for that rerun.</t>
  </si>
  <si>
    <t>Need enough residual data after omission.</t>
  </si>
  <si>
    <t>Pair with GS12 and E23.</t>
  </si>
  <si>
    <t>Machine Summary Outputs (Best Runs and Patterns)</t>
  </si>
  <si>
    <t>summary_type</t>
  </si>
  <si>
    <t>summary_key</t>
  </si>
  <si>
    <t>primary_metric_name</t>
  </si>
  <si>
    <t>primary_metric_value</t>
  </si>
  <si>
    <t>run_id</t>
  </si>
  <si>
    <t>experiment_id</t>
  </si>
  <si>
    <t>start_section</t>
  </si>
  <si>
    <t>end_section</t>
  </si>
  <si>
    <t>model</t>
  </si>
  <si>
    <t>cv</t>
  </si>
  <si>
    <t>target</t>
  </si>
  <si>
    <t>xai_method</t>
  </si>
  <si>
    <t>report_path</t>
  </si>
  <si>
    <t>notes</t>
  </si>
  <si>
    <t>Trial Results (Machine-managed)</t>
  </si>
  <si>
    <t>trial_id</t>
  </si>
  <si>
    <t>status</t>
  </si>
  <si>
    <t>metrics_path</t>
  </si>
  <si>
    <t>artifact_bundle</t>
  </si>
  <si>
    <t>study_id</t>
  </si>
  <si>
    <t>cell_id</t>
  </si>
  <si>
    <t>factor_settings_json</t>
  </si>
  <si>
    <t>resolved_params_json</t>
  </si>
  <si>
    <t>Machine Status and Environment</t>
  </si>
  <si>
    <t>machine_id</t>
  </si>
  <si>
    <t>hostname</t>
  </si>
  <si>
    <t>environment_name</t>
  </si>
  <si>
    <t>python_version</t>
  </si>
  <si>
    <t>gpu</t>
  </si>
  <si>
    <t>last_checked</t>
  </si>
  <si>
    <t>M01</t>
  </si>
  <si>
    <t>thesis-dev</t>
  </si>
  <si>
    <t>Track execution environment snapshots used for thesis runs.</t>
  </si>
  <si>
    <t>Program Objectives</t>
  </si>
  <si>
    <t>objective_id</t>
  </si>
  <si>
    <t>objective_text</t>
  </si>
  <si>
    <t>stage</t>
  </si>
  <si>
    <t>linked_experiment_id</t>
  </si>
  <si>
    <t>primary_metric</t>
  </si>
  <si>
    <t>success_criterion</t>
  </si>
  <si>
    <t>OBJ01</t>
  </si>
  <si>
    <t>Lock target definition under leakage-aware evaluation.</t>
  </si>
  <si>
    <t>balanced_accuracy</t>
  </si>
  <si>
    <t>Decision D01 locked with pre-registered rationale.</t>
  </si>
  <si>
    <t>OBJ02</t>
  </si>
  <si>
    <t>Justify strict split design and separate within-person from cross-person claims.</t>
  </si>
  <si>
    <t>Weak-split inflation shown and primary split rationale documented.</t>
  </si>
  <si>
    <t>OBJ03</t>
  </si>
  <si>
    <t>Select a small defensible linear model comparison set and tune only if clearly justified.</t>
  </si>
  <si>
    <t>E06,E07,E08</t>
  </si>
  <si>
    <t>D03-D05 locked with evidence and tradeoff notes.</t>
  </si>
  <si>
    <t>OBJ04</t>
  </si>
  <si>
    <t>Build a supporting robustness package that challenges the preferred interpretation.</t>
  </si>
  <si>
    <t>E12,E13,E14,E20,E21,E22,E23,E24</t>
  </si>
  <si>
    <t>Robustness package specified before Chapter 4 write-up.</t>
  </si>
  <si>
    <t>Use as supervisor-facing audit checklist.</t>
  </si>
  <si>
    <t>OBJ05</t>
  </si>
  <si>
    <t>Freeze a reproducible confirmatory package that is ready for Chapter 4 and Chapter 5 discussion.</t>
  </si>
  <si>
    <t>Stage 5/6</t>
  </si>
  <si>
    <t>E16,E17,E24</t>
  </si>
  <si>
    <t>Confirmatory_Set eligible and reproducibility audit documented.</t>
  </si>
  <si>
    <t>Fixed Configurations and Locks</t>
  </si>
  <si>
    <t>config_key</t>
  </si>
  <si>
    <t>config_value</t>
  </si>
  <si>
    <t>scope</t>
  </si>
  <si>
    <t>locked</t>
  </si>
  <si>
    <t>owner</t>
  </si>
  <si>
    <t>last_updated</t>
  </si>
  <si>
    <t>default_target</t>
  </si>
  <si>
    <t>global</t>
  </si>
  <si>
    <t>Khaled</t>
  </si>
  <si>
    <t>Current working target used across planning sheets.</t>
  </si>
  <si>
    <t>default_primary_cv</t>
  </si>
  <si>
    <t>within_subject_loso_session</t>
  </si>
  <si>
    <t>Primary within-person held-out-session split logic.</t>
  </si>
  <si>
    <t>default_transfer_cv</t>
  </si>
  <si>
    <t>frozen_cross_person_transfer</t>
  </si>
  <si>
    <t>Secondary cross-person transfer setting.</t>
  </si>
  <si>
    <t>default_model</t>
  </si>
  <si>
    <t>ridge</t>
  </si>
  <si>
    <t>Conservative linear baseline expected to anchor the confirmatory path.</t>
  </si>
  <si>
    <t>default_weighting_policy</t>
  </si>
  <si>
    <t>Balanced weighting remains a tested alternative, not the default.</t>
  </si>
  <si>
    <t>default_tuning_policy</t>
  </si>
  <si>
    <t>fixed_explicit_settings</t>
  </si>
  <si>
    <t>Grouped nested tuning retained as an assessed alternative.</t>
  </si>
  <si>
    <t>default_primary_metric</t>
  </si>
  <si>
    <t>Main decision metric across method-lock comparisons.</t>
  </si>
  <si>
    <t>seed_policy</t>
  </si>
  <si>
    <t>42</t>
  </si>
  <si>
    <t>Freeze candidate seed for deterministic reruns and auditability.</t>
  </si>
  <si>
    <t>train_only_fit_rule</t>
  </si>
  <si>
    <t>All preprocessing, scaling, reduction, tuning, and interpretation fits must remain inside training data for each split.</t>
  </si>
  <si>
    <t>Core leakage-prevention rule.</t>
  </si>
  <si>
    <t>artifact_schema</t>
  </si>
  <si>
    <t>artifact-v1</t>
  </si>
  <si>
    <t>Reference schema for run outputs tracked in workbook.</t>
  </si>
  <si>
    <t>Workbook Artifact Registry Snapshot</t>
  </si>
  <si>
    <t>artifact_id</t>
  </si>
  <si>
    <t>artifact_type</t>
  </si>
  <si>
    <t>created_at</t>
  </si>
  <si>
    <t>path</t>
  </si>
  <si>
    <t>upstream_artifact_ids</t>
  </si>
  <si>
    <t>config_hash</t>
  </si>
  <si>
    <t>code_ref</t>
  </si>
  <si>
    <t>Optional workbook mirror of machine registry for audit snapshots.</t>
  </si>
  <si>
    <t>Study Review (Machine-managed pre-execution guardrails)</t>
  </si>
  <si>
    <t>study_name</t>
  </si>
  <si>
    <t>intent</t>
  </si>
  <si>
    <t>execution_disposition</t>
  </si>
  <si>
    <t>execution_eligibility_status</t>
  </si>
  <si>
    <t>warning_count</t>
  </si>
  <si>
    <t>error_count</t>
  </si>
  <si>
    <t>missing_fields_json</t>
  </si>
  <si>
    <t>warnings_json</t>
  </si>
  <si>
    <t>errors_json</t>
  </si>
  <si>
    <t>question</t>
  </si>
  <si>
    <t>generalization_claim</t>
  </si>
  <si>
    <t>factors_json</t>
  </si>
  <si>
    <t>fixed_controls_json</t>
  </si>
  <si>
    <t>constraints_json</t>
  </si>
  <si>
    <t>excluded_combination_count</t>
  </si>
  <si>
    <t>expected_design_cells</t>
  </si>
  <si>
    <t>expected_trials</t>
  </si>
  <si>
    <t>secondary_metrics</t>
  </si>
  <si>
    <t>cv_scheme</t>
  </si>
  <si>
    <t>nested_cv</t>
  </si>
  <si>
    <t>external_validation_planned</t>
  </si>
  <si>
    <t>blocking_strategy</t>
  </si>
  <si>
    <t>randomization_strategy</t>
  </si>
  <si>
    <t>replication_strategy</t>
  </si>
  <si>
    <t>replication_mode</t>
  </si>
  <si>
    <t>num_repeats</t>
  </si>
  <si>
    <t>random_seed_policy</t>
  </si>
  <si>
    <t>rigor_checklist_status</t>
  </si>
  <si>
    <t>analysis_plan_status</t>
  </si>
  <si>
    <t>completed_trials</t>
  </si>
  <si>
    <t>failed_trials</t>
  </si>
  <si>
    <t>blocked_trials</t>
  </si>
  <si>
    <t>dry_run_trials</t>
  </si>
  <si>
    <t>Effect Summaries (Descriptive)</t>
  </si>
  <si>
    <t>factor_level_key</t>
  </si>
  <si>
    <t>interaction_key</t>
  </si>
  <si>
    <t>mean_primary_metric_value</t>
  </si>
  <si>
    <t>best_primary_metric_value</t>
  </si>
  <si>
    <t>best_trial_id</t>
  </si>
  <si>
    <t>Generated Design Matrix (Machine-managed)</t>
  </si>
  <si>
    <t>base_artifact_id</t>
  </si>
  <si>
    <t>Blocking and Replication</t>
  </si>
  <si>
    <t>block_type</t>
  </si>
  <si>
    <t>block_value</t>
  </si>
  <si>
    <t>repeat_id</t>
  </si>
  <si>
    <t>seed</t>
  </si>
  <si>
    <t>S01</t>
  </si>
  <si>
    <t>S02</t>
  </si>
  <si>
    <t>S03</t>
  </si>
  <si>
    <t>subject_pair</t>
  </si>
  <si>
    <t>sub-001_to_sub-002</t>
  </si>
  <si>
    <t>sub-002_to_sub-001</t>
  </si>
  <si>
    <t>S04</t>
  </si>
  <si>
    <t>S05</t>
  </si>
  <si>
    <t>frozen_rerun</t>
  </si>
  <si>
    <t>confirmatory_package</t>
  </si>
  <si>
    <t>Invalid Combination Constraints</t>
  </si>
  <si>
    <t>if_factor</t>
  </si>
  <si>
    <t>if_level</t>
  </si>
  <si>
    <t>disallow_factor</t>
  </si>
  <si>
    <t>disallow_level</t>
  </si>
  <si>
    <t>reason</t>
  </si>
  <si>
    <t>split_family</t>
  </si>
  <si>
    <t>subject_scope</t>
  </si>
  <si>
    <t>Cross-person transfer requires ordered subject pairs, not a single-subject slice.</t>
  </si>
  <si>
    <t>task_policy</t>
  </si>
  <si>
    <t>minimum_samples_rule</t>
  </si>
  <si>
    <t>below_threshold</t>
  </si>
  <si>
    <t>Do not interpret task-specific runs without sufficient per-class counts.</t>
  </si>
  <si>
    <t>modality_policy</t>
  </si>
  <si>
    <t>Do not interpret modality-specific runs without sufficient per-class counts.</t>
  </si>
  <si>
    <t>diagnostic_target</t>
  </si>
  <si>
    <t>session_proxy</t>
  </si>
  <si>
    <t>interpretation_rule</t>
  </si>
  <si>
    <t>confirmatory_claim</t>
  </si>
  <si>
    <t>Session-identity diagnostics test confounds; they cannot become confirmatory target claims.</t>
  </si>
  <si>
    <t>temporal_window</t>
  </si>
  <si>
    <t>DS09|DS10</t>
  </si>
  <si>
    <t>record_random_split</t>
  </si>
  <si>
    <t>Temporal drift analyses require explicit temporal separation, not random record splits.</t>
  </si>
  <si>
    <t>rerun_id</t>
  </si>
  <si>
    <t>2</t>
  </si>
  <si>
    <t>frozen_config_required</t>
  </si>
  <si>
    <t>FALSE</t>
  </si>
  <si>
    <t>Rerun audit must use the same frozen configuration across both reruns.</t>
  </si>
  <si>
    <t>Fixed Controls</t>
  </si>
  <si>
    <t>parameter_path</t>
  </si>
  <si>
    <t>value</t>
  </si>
  <si>
    <t>dataset_index_version</t>
  </si>
  <si>
    <t>dataset_index.csv (current thesis build)</t>
  </si>
  <si>
    <t>TRUE</t>
  </si>
  <si>
    <t>baseline_reference</t>
  </si>
  <si>
    <t>locked confirmatory pipeline</t>
  </si>
  <si>
    <t>Factor Definitions</t>
  </si>
  <si>
    <t>factor_name</t>
  </si>
  <si>
    <t>section_name</t>
  </si>
  <si>
    <t>factor_type</t>
  </si>
  <si>
    <t>levels</t>
  </si>
  <si>
    <t>coarse_affect|emotion|binary_valence_like</t>
  </si>
  <si>
    <t>filter_task</t>
  </si>
  <si>
    <t>pooled_all_tasks|task_specific_other</t>
  </si>
  <si>
    <t>filter_modality</t>
  </si>
  <si>
    <t>pooled_all_modalities|audio_only|video_only|audiovisual_only</t>
  </si>
  <si>
    <t>within_subject_loso_session|record_random_split|frozen_cross_person_transfer</t>
  </si>
  <si>
    <t>model_family</t>
  </si>
  <si>
    <t>ridge|logreg|linearsvc</t>
  </si>
  <si>
    <t>class_weight_policy</t>
  </si>
  <si>
    <t>class_weight</t>
  </si>
  <si>
    <t>none|balanced</t>
  </si>
  <si>
    <t>tuning_policy</t>
  </si>
  <si>
    <t>search_space_id</t>
  </si>
  <si>
    <t>none|SS03</t>
  </si>
  <si>
    <t>coarse_affect|task|modality|session_proxy</t>
  </si>
  <si>
    <t>data_slice</t>
  </si>
  <si>
    <t>DS06|DS07|DS09|DS10</t>
  </si>
  <si>
    <t>passive|emotion|rating|imagery</t>
  </si>
  <si>
    <t>audio_only|video_only|audiovisual_only</t>
  </si>
  <si>
    <t>subset_policy</t>
  </si>
  <si>
    <t>DS05|DS11|DS12|DS13</t>
  </si>
  <si>
    <t>1|2</t>
  </si>
  <si>
    <t>Analysis Plan</t>
  </si>
  <si>
    <t>primary_contrast</t>
  </si>
  <si>
    <t>secondary_contrasts</t>
  </si>
  <si>
    <t>aggregation_level</t>
  </si>
  <si>
    <t>uncertainty_method</t>
  </si>
  <si>
    <t>multiplicity_handling</t>
  </si>
  <si>
    <t>interaction_reporting_policy</t>
  </si>
  <si>
    <t>interpretation_rules</t>
  </si>
  <si>
    <t>Compare decision options within the same split/subject context.</t>
  </si>
  <si>
    <t>Target vs split vs model vs weighting vs tuning sensitivity summaries.</t>
  </si>
  <si>
    <t>Use only to lock decisions, not to overclaim performance.</t>
  </si>
  <si>
    <t>Supports Chapter 3 method choice.</t>
  </si>
  <si>
    <t>Locked model vs held-out-session performance by subject.</t>
  </si>
  <si>
    <t>Permutation support, trivial baseline support, explanation stability.</t>
  </si>
  <si>
    <t>Interpret within-person only and under exact split logic.</t>
  </si>
  <si>
    <t>Primary Chapter 4 write-up.</t>
  </si>
  <si>
    <t>A-&gt;B and B-&gt;A frozen transfer comparison.</t>
  </si>
  <si>
    <t>Direction asymmetry and baseline comparisons.</t>
  </si>
  <si>
    <t>Do not reframe as a population-level result.</t>
  </si>
  <si>
    <t>Secondary Chapter 4 write-up.</t>
  </si>
  <si>
    <t>Temporal, task, modality, confound, and jackknife stress tests vs locked baseline.</t>
  </si>
  <si>
    <t>Sensitivity tables and narrative limitation statements.</t>
  </si>
  <si>
    <t>Use to strengthen validity boundaries and discussion, not to cherry-pick better scores.</t>
  </si>
  <si>
    <t>Supports Chapter 4 robustness and Chapter 5 limitations.</t>
  </si>
  <si>
    <t>Frozen rerun 1 vs frozen rerun 2 output agreement.</t>
  </si>
  <si>
    <t>Config hash, artifact hash, and summary-value agreement.</t>
  </si>
  <si>
    <t>not_applicable</t>
  </si>
  <si>
    <t>Operational reproducibility only.</t>
  </si>
  <si>
    <t>Appendix / methods audit support.</t>
  </si>
  <si>
    <t>Study Rigor Checklist</t>
  </si>
  <si>
    <t>leakage_risk_reviewed</t>
  </si>
  <si>
    <t>deployment_boundary_defined</t>
  </si>
  <si>
    <t>unit_of_analysis_defined</t>
  </si>
  <si>
    <t>data_hierarchy_defined</t>
  </si>
  <si>
    <t>missing_data_plan</t>
  </si>
  <si>
    <t>class_imbalance_plan</t>
  </si>
  <si>
    <t>subgroup_plan</t>
  </si>
  <si>
    <t>fairness_or_applicability_notes</t>
  </si>
  <si>
    <t>reporting_checklist_completed</t>
  </si>
  <si>
    <t>risk_of_bias_reviewed</t>
  </si>
  <si>
    <t>confirmatory_lock_applied</t>
  </si>
  <si>
    <t>analysis_notes</t>
  </si>
  <si>
    <t>Method-lock work should not be presented as final performance evidence.</t>
  </si>
  <si>
    <t>Use only for design locking.</t>
  </si>
  <si>
    <t>Within-person results remain participant-specific and split-specific.</t>
  </si>
  <si>
    <t>Primary confirmatory study.</t>
  </si>
  <si>
    <t>Cross-person transfer is a domain-shift test, not a population claim.</t>
  </si>
  <si>
    <t>Directional transfer only.</t>
  </si>
  <si>
    <t>Robustness checks challenge interpretation rather than replace primary evidence.</t>
  </si>
  <si>
    <t>Document omitted checks explicitly.</t>
  </si>
  <si>
    <t>Applies to reproducibility and software auditability rather than subgroup fairness.</t>
  </si>
  <si>
    <t>Compare artifacts, summaries, and frozen configs.</t>
  </si>
  <si>
    <t>Study Design (Factorial and Custom Matrices)</t>
  </si>
  <si>
    <t>enabled</t>
  </si>
  <si>
    <t>study_type</t>
  </si>
  <si>
    <t>stopping_rule</t>
  </si>
  <si>
    <t>Method-lock core study</t>
  </si>
  <si>
    <t>Which target, split, model, weighting, and tuning choices should be locked before confirmatory analysis?</t>
  </si>
  <si>
    <t>Supports only method-choice decisions for the current dataset.</t>
  </si>
  <si>
    <t>method_lock_v1</t>
  </si>
  <si>
    <t>macro_f1|accuracy|class_recall</t>
  </si>
  <si>
    <t>claim_matched_by_experiment</t>
  </si>
  <si>
    <t>1</t>
  </si>
  <si>
    <t>Complete all listed method-lock cells.</t>
  </si>
  <si>
    <t>Covers E01-E08.</t>
  </si>
  <si>
    <t>Confirmatory within-person study</t>
  </si>
  <si>
    <t>Does the locked pipeline generalize to unseen sessions within each participant?</t>
  </si>
  <si>
    <t>Within-person held-out-session claim only.</t>
  </si>
  <si>
    <t>confirm_within_v1</t>
  </si>
  <si>
    <t>Stop only after all subjects are run.</t>
  </si>
  <si>
    <t>Primary Chapter 4 result; linked to E16 plus E12-E14.</t>
  </si>
  <si>
    <t>Confirmatory cross-person transfer study</t>
  </si>
  <si>
    <t>Does the frozen mapping transfer across participants under directional train/test separation?</t>
  </si>
  <si>
    <t>Directional cross-person transfer only; not population inference.</t>
  </si>
  <si>
    <t>confirm_transfer_v1</t>
  </si>
  <si>
    <t>by_subject_pair</t>
  </si>
  <si>
    <t>Run both transfer directions.</t>
  </si>
  <si>
    <t>Primary Chapter 4 transfer result; linked to E17.</t>
  </si>
  <si>
    <t>Robustness extension study</t>
  </si>
  <si>
    <t>Do the main conclusions survive confound diagnostics, temporal separation, task/modality holdout, and session-influence checks?</t>
  </si>
  <si>
    <t>Supports interpretation and limitation boundaries, not the core claim by itself.</t>
  </si>
  <si>
    <t>robustness_pack_v1</t>
  </si>
  <si>
    <t>macro_f1|accuracy|stability_metrics</t>
  </si>
  <si>
    <t>experiment_specific</t>
  </si>
  <si>
    <t>Complete all planned robustness checks or document omissions.</t>
  </si>
  <si>
    <t>Covers E20-E23.</t>
  </si>
  <si>
    <t>Reproducibility and audit study</t>
  </si>
  <si>
    <t>Can the frozen confirmatory package be rerun deterministically with matching artifacts and summaries?</t>
  </si>
  <si>
    <t>Operational reproducibility of the locked pipeline.</t>
  </si>
  <si>
    <t>repro_audit_v1</t>
  </si>
  <si>
    <t>artifact_hash_match|summary_match</t>
  </si>
  <si>
    <t>by_run</t>
  </si>
  <si>
    <t>Stop after two clean reruns are compared.</t>
  </si>
  <si>
    <t>Covers E24 and supports discussion/auditability.</t>
  </si>
  <si>
    <t>Search Space Definitions</t>
  </si>
  <si>
    <t>optimization_mode</t>
  </si>
  <si>
    <t>parameter_name</t>
  </si>
  <si>
    <t>parameter_values</t>
  </si>
  <si>
    <t>parameter_scope</t>
  </si>
  <si>
    <t>objective_metric</t>
  </si>
  <si>
    <t>max_trials</t>
  </si>
  <si>
    <t>SS01</t>
  </si>
  <si>
    <t>Fixed model-family comparison space for E06.</t>
  </si>
  <si>
    <t>SS02</t>
  </si>
  <si>
    <t>Simple weighting comparison for E07.</t>
  </si>
  <si>
    <t>SS03</t>
  </si>
  <si>
    <t>grouped_nested_search</t>
  </si>
  <si>
    <t>C</t>
  </si>
  <si>
    <t>0.01|0.1|1|10</t>
  </si>
  <si>
    <t>24</t>
  </si>
  <si>
    <t>Grouped nested tuning candidate for linear models in E08.</t>
  </si>
  <si>
    <t>penalty</t>
  </si>
  <si>
    <t>l2</t>
  </si>
  <si>
    <t>Keep tuning space narrow for thesis defensibility.</t>
  </si>
  <si>
    <t>SS04</t>
  </si>
  <si>
    <t>leave_one_session_out|omit_one_session_train_pool</t>
  </si>
  <si>
    <t>Sensitivity space for E23 session-influence checks.</t>
  </si>
  <si>
    <t>SS05</t>
  </si>
  <si>
    <t>Workbook-executable target grid for E01 target-lock comparison.</t>
  </si>
  <si>
    <t>sub-001|sub-002</t>
  </si>
  <si>
    <t>Subject expansion for workbook-executable E01 target-lock comparison.</t>
  </si>
  <si>
    <t>train_subject</t>
  </si>
  <si>
    <t>test_subject</t>
  </si>
  <si>
    <t>reuse_policy</t>
  </si>
  <si>
    <t>VARIES</t>
  </si>
  <si>
    <t>VARIES_SPLIT</t>
  </si>
  <si>
    <t>dummy_or_majority</t>
  </si>
  <si>
    <t>None</t>
  </si>
  <si>
    <t>reuse_confirmatory_base</t>
  </si>
  <si>
    <t>VARIES_DIAGNOSTIC</t>
  </si>
  <si>
    <t>leave_task_out_within_subject</t>
  </si>
  <si>
    <t>HELD_OUT_TASK</t>
  </si>
  <si>
    <t>leave_modality_out_within_subject</t>
  </si>
  <si>
    <t>HELD_OUT_MODALITY</t>
  </si>
  <si>
    <t>session_influence_jackknife</t>
  </si>
  <si>
    <t>reuse_frozen_confirmatory</t>
  </si>
  <si>
    <t>Decision_Supported</t>
  </si>
  <si>
    <t>Exact_Question</t>
  </si>
  <si>
    <t>Hypothesis_or_Expectation</t>
  </si>
  <si>
    <t>Manipulated_Factor</t>
  </si>
  <si>
    <t>Held_Constant_Controls</t>
  </si>
  <si>
    <t>Dataset_Scope</t>
  </si>
  <si>
    <t>Target_Definition</t>
  </si>
  <si>
    <t>Split_Logic</t>
  </si>
  <si>
    <t>Leakage_Control</t>
  </si>
  <si>
    <t>Models_Compared</t>
  </si>
  <si>
    <t>Primary_Metric</t>
  </si>
  <si>
    <t>Secondary_Metrics</t>
  </si>
  <si>
    <t>Robustness_Checks</t>
  </si>
  <si>
    <t>Decision_Criterion</t>
  </si>
  <si>
    <t>Success_Pattern</t>
  </si>
  <si>
    <t>Failure_or_Warning_Pattern</t>
  </si>
  <si>
    <t>Threats_to_Validity</t>
  </si>
  <si>
    <t>Owner</t>
  </si>
  <si>
    <t>Outcome_Summary</t>
  </si>
  <si>
    <t>Decision_Taken</t>
  </si>
  <si>
    <t>Experiment_Ready</t>
  </si>
  <si>
    <t>Target granularity experiment</t>
  </si>
  <si>
    <t>Final target lock</t>
  </si>
  <si>
    <t>Should the thesis use fine-grained emotion labels, three-class coarse affect, or binary valence-like labels?</t>
  </si>
  <si>
    <t>coarse_affect likely balances construct validity, class balance, and learnability.</t>
  </si>
  <si>
    <t>Target definition</t>
  </si>
  <si>
    <t>Dataset index version, train-only fitting policy, metric definitions, seed policy, artifact schema.</t>
  </si>
  <si>
    <t>Internal repeated-session BAS2 dataset (sub-001 and sub-002) unless explicitly external.</t>
  </si>
  <si>
    <t>fine emotion vs coarse_affect vs binary valence-like</t>
  </si>
  <si>
    <t>within_subject_loso_session under matched target-comparison controls</t>
  </si>
  <si>
    <t>Performance inflation if split logic or fit scope leaks train/test information.</t>
  </si>
  <si>
    <t>Predefined split manifests and train-only fitting; no test-driven tuning or target redesign.</t>
  </si>
  <si>
    <t>ridge baseline unless model family is manipulated.</t>
  </si>
  <si>
    <t>Balanced accuracy</t>
  </si>
  <si>
    <t>Macro-F1; class-wise recall; accuracy</t>
  </si>
  <si>
    <t>Fold-level checks and stress controls where relevant.</t>
  </si>
  <si>
    <t>Prefer target balancing construct validity, class balance, sample sufficiency, and learnability under claim-matched evaluation.</t>
  </si>
  <si>
    <t>Stable claim-consistent performance without leakage indicators.</t>
  </si>
  <si>
    <t>Weak-split inflation, instability, class collapse, or directionally inconsistent evidence.</t>
  </si>
  <si>
    <t>Class imbalance, sample limits, domain shift, and model/split sensitivity.</t>
  </si>
  <si>
    <t>Interpret only under stated split logic/evidence tier; no causal or localization claims.</t>
  </si>
  <si>
    <t>Khaled (thesis author)</t>
  </si>
  <si>
    <t>Task pooling experiment</t>
  </si>
  <si>
    <t>Should the main target be learned across all tasks together, or separately by task?</t>
  </si>
  <si>
    <t>Evaluate under leakage-aware claim-matched split logic before interpretation.</t>
  </si>
  <si>
    <t>Pooling strategy by task</t>
  </si>
  <si>
    <t>coarse_affect unless this experiment manipulates target granularity.</t>
  </si>
  <si>
    <t>Claim-matched leakage-safe split strategy.</t>
  </si>
  <si>
    <t>Predefined split manifests, train-only fitting, frozen transfer where applicable, no test-driven tuning.</t>
  </si>
  <si>
    <t>Pre-specified criterion recorded before interpretation.</t>
  </si>
  <si>
    <t>Modality pooling experiment</t>
  </si>
  <si>
    <t>Should audio, video, and audiovisual conditions be pooled or modeled separately?</t>
  </si>
  <si>
    <t>Pooling strategy by modality</t>
  </si>
  <si>
    <t>Split-strength stress test</t>
  </si>
  <si>
    <t>Primary split policy</t>
  </si>
  <si>
    <t>How much do conclusions change under weaker split strategies compared with session-held-out evaluation?</t>
  </si>
  <si>
    <t>Split logic</t>
  </si>
  <si>
    <t>record-wise random split vs weaker grouped split vs within-person leave-one-session-out</t>
  </si>
  <si>
    <t>High under weak splits</t>
  </si>
  <si>
    <t>Retain strictest split matching claim; weaker splits only as inflation/leakage demonstrations.</t>
  </si>
  <si>
    <t>Cross-person transfer design</t>
  </si>
  <si>
    <t>Cross-person transfer framing</t>
  </si>
  <si>
    <t>How should cross-person generalization be framed and evaluated?</t>
  </si>
  <si>
    <t>Transfer protocol</t>
  </si>
  <si>
    <t>frozen train-on-A/test-on-B and reverse direction</t>
  </si>
  <si>
    <t>Fit only on train subject; no test subject re-fit/re-tune</t>
  </si>
  <si>
    <t>Keep frozen directional transfer as clean cross-case test.</t>
  </si>
  <si>
    <t>Transfer evidence under domain shift, not population-level generalization.</t>
  </si>
  <si>
    <t>Linear model family comparison</t>
  </si>
  <si>
    <t>Model family lock</t>
  </si>
  <si>
    <t>Which linear model is the most appropriate default: ridge, logistic regression, or linear SVM?</t>
  </si>
  <si>
    <t>Model family</t>
  </si>
  <si>
    <t>ridge vs logreg vs linearsvc</t>
  </si>
  <si>
    <t>Prefer simplest model with comparable predictive performance and better robustness/stability.</t>
  </si>
  <si>
    <t>Class weighting experiment</t>
  </si>
  <si>
    <t>Weighting policy</t>
  </si>
  <si>
    <t>Does class weighting improve fairness across classes without creating instability?</t>
  </si>
  <si>
    <t>Weighting strategy</t>
  </si>
  <si>
    <t>Hyperparameter strategy experiment</t>
  </si>
  <si>
    <t>Tuning policy</t>
  </si>
  <si>
    <t>Are fixed conservative hyperparameters sufficient, or does light nested tuning materially improve results?</t>
  </si>
  <si>
    <t>Tuning strategy</t>
  </si>
  <si>
    <t>Keep fixed settings unless nested tuning yields a clear and stable gain.</t>
  </si>
  <si>
    <t>Whole-brain versus ROI experiment</t>
  </si>
  <si>
    <t>Should the primary representation remain whole-brain masked voxels or use theory-justified ROIs?</t>
  </si>
  <si>
    <t>Feature space</t>
  </si>
  <si>
    <t>Dimensionality reduction experiment</t>
  </si>
  <si>
    <t>Feature reduction policy</t>
  </si>
  <si>
    <t>Does unsupervised dimensionality reduction improve performance or stability enough to justify added complexity?</t>
  </si>
  <si>
    <t>Feature reduction strategy</t>
  </si>
  <si>
    <t>Scaling and normalization experiment</t>
  </si>
  <si>
    <t>How sensitive are the results to scaling strategy?</t>
  </si>
  <si>
    <t>Scaling policy</t>
  </si>
  <si>
    <t>Chance-level distinguishability support</t>
  </si>
  <si>
    <t>Are the main predictive results distinguishable from chance under the exact same split logic?</t>
  </si>
  <si>
    <t>Label structure (true vs permuted)</t>
  </si>
  <si>
    <t>exact confirmatory split logic with train-only permutation</t>
  </si>
  <si>
    <t>Empirical p-value; null distribution summary</t>
  </si>
  <si>
    <t>Does the final model clearly outperform trivial baselines?</t>
  </si>
  <si>
    <t>Baseline type</t>
  </si>
  <si>
    <t>Final locked model vs trivial baselines</t>
  </si>
  <si>
    <t>Quantified explanation stability</t>
  </si>
  <si>
    <t>Are linear coefficient or importance patterns stable across held-out-session folds and reruns of the same locked pipeline?</t>
  </si>
  <si>
    <t>Explanation patterns should show at least directional consistency if they are to support interpretation.</t>
  </si>
  <si>
    <t>Explanation stability metric</t>
  </si>
  <si>
    <t>Claim-matched leakage-safe split strategy with fold-wise explanation extraction.</t>
  </si>
  <si>
    <t>Mean pairwise coefficient correlation</t>
  </si>
  <si>
    <t>Sign consistency; top-k overlap; spatial agreement</t>
  </si>
  <si>
    <t>Fold-wise and rerun stability summaries linked to the same confirmatory base run.</t>
  </si>
  <si>
    <t>Use interpretation support only if explanation patterns are not dominated by fold-specific instability.</t>
  </si>
  <si>
    <t>Stable fold-level explanation patterns without contradiction across the main held-out-session analyses.</t>
  </si>
  <si>
    <t>Highly unstable maps, sign flips, or dependence on a tiny subset of folds.</t>
  </si>
  <si>
    <t>Model instability, small-sample variability, and over-interpretation of feature weights.</t>
  </si>
  <si>
    <t>Model-behavior evidence only; not direct neural localization.</t>
  </si>
  <si>
    <t>Replaces vague explanation language with explicit stability metrics.</t>
  </si>
  <si>
    <t>Subset sensitivity framing</t>
  </si>
  <si>
    <t>Sensitivity framing</t>
  </si>
  <si>
    <t>Do the main conclusions depend excessively on one subset, such as one task, one modality, or one session cluster?</t>
  </si>
  <si>
    <t>The main conclusion should not collapse when a single plausible subset is excluded.</t>
  </si>
  <si>
    <t>Subset inclusion / exclusion policy</t>
  </si>
  <si>
    <t>Claim-matched leakage-safe split strategy plus pre-registered subset exclusions.</t>
  </si>
  <si>
    <t>Subset-specific reruns and omission diagnostics where relevant.</t>
  </si>
  <si>
    <t>Use as a framing experiment to decide whether stronger dedicated sensitivity checks are needed.</t>
  </si>
  <si>
    <t>Directionally similar conclusions across pre-registered subset variants.</t>
  </si>
  <si>
    <t>Large dependence on one subset or a reversal of the main conclusion.</t>
  </si>
  <si>
    <t>Parent sensitivity entry complemented by E21-E23 for more specific robustness checks.</t>
  </si>
  <si>
    <t>Primary confirmatory claim</t>
  </si>
  <si>
    <t>Does the final locked pipeline show meaningful within-person held-out-session generalization?</t>
  </si>
  <si>
    <t>None; final frozen pipeline</t>
  </si>
  <si>
    <t>Locked target after Stage 1 target lock</t>
  </si>
  <si>
    <t>Final locked model</t>
  </si>
  <si>
    <t>Primary evidential core of thesis.</t>
  </si>
  <si>
    <t>Secondary confirmatory transfer claim</t>
  </si>
  <si>
    <t>Does the final locked pipeline transfer meaningfully across individuals under frozen directional transfer?</t>
  </si>
  <si>
    <t>frozen_cross_person_transfer both directions</t>
  </si>
  <si>
    <t>Interpret as cross-case transfer evidence under domain shift.</t>
  </si>
  <si>
    <t>Directional transfer evidence only; not population-level generalization.</t>
  </si>
  <si>
    <t>External open-source split replication</t>
  </si>
  <si>
    <t>External split-consistency exploration</t>
  </si>
  <si>
    <t>Does the same leakage-aware split logic materially affect conclusions on a compatible external open-source dataset?</t>
  </si>
  <si>
    <t>Dataset source</t>
  </si>
  <si>
    <t>External open-source dataset if available and approved</t>
  </si>
  <si>
    <t>External open-source model portability</t>
  </si>
  <si>
    <t>External model portability exploration</t>
  </si>
  <si>
    <t>Does the relative ranking of reasonable model choices remain similar on external data?</t>
  </si>
  <si>
    <t>Dataset source with same small model set</t>
  </si>
  <si>
    <t>Confound-risk interpretation support</t>
  </si>
  <si>
    <t>Can the same feature space decode non-target variables such as task, modality, or session proxy strongly enough to challenge the preferred interpretation?</t>
  </si>
  <si>
    <t>Main affect-decoding evidence should not be explained away by obviously stronger non-target structure.</t>
  </si>
  <si>
    <t>Diagnostic target and nuisance structure</t>
  </si>
  <si>
    <t>coarse_affect plus non-target diagnostic labels</t>
  </si>
  <si>
    <t>within_subject_loso_session under matched diagnostic setups</t>
  </si>
  <si>
    <t>Risk that non-target structure masquerades as target signal.</t>
  </si>
  <si>
    <t>Train-only fitting, matched diagnostic pipeline, no test-driven target redesign.</t>
  </si>
  <si>
    <t>Macro-F1; diagnostic class recall</t>
  </si>
  <si>
    <t>Compare target decoding with task/modality/session-proxy diagnostic decoding.</t>
  </si>
  <si>
    <t>Use to narrow interpretation if non-target structure appears dominant or easier to decode than the target.</t>
  </si>
  <si>
    <t>Target result remains interpretable after diagnostic comparison and nuisance review.</t>
  </si>
  <si>
    <t>Non-target diagnostics dominate or strongly compete with the target explanation.</t>
  </si>
  <si>
    <t>Confounding structure, task dependence, modality effects, session drift.</t>
  </si>
  <si>
    <t>Interpretation-boundary evidence only; can narrow claims even when the main result remains positive.</t>
  </si>
  <si>
    <t>New high-value validity experiment.</t>
  </si>
  <si>
    <t>Does a model trained without one task retain directionally similar performance when evaluated on the held-out task within subject?</t>
  </si>
  <si>
    <t>If the signal is partly task-general, held-out-task performance should remain directionally supportive.</t>
  </si>
  <si>
    <t>Held-out task</t>
  </si>
  <si>
    <t>Held-out task excluded from all train-side fitting and tuning steps.</t>
  </si>
  <si>
    <t>Held-out task comparisons against the locked pooled-task baseline.</t>
  </si>
  <si>
    <t>Use as supporting robustness, not as a replacement for the primary held-out-session claim.</t>
  </si>
  <si>
    <t>Directionally supportive performance on held-out tasks without collapse.</t>
  </si>
  <si>
    <t>Performance collapses on held-out tasks, suggesting strong task-bound signal.</t>
  </si>
  <si>
    <t>Task-specific confounding, sample imbalance, limited task coverage.</t>
  </si>
  <si>
    <t>Task-generalization support only; not the primary confirmatory split.</t>
  </si>
  <si>
    <t>New robustness experiment focused on construct validity across tasks.</t>
  </si>
  <si>
    <t>Does a model trained without one modality retain directionally similar performance when evaluated on the held-out modality within subject?</t>
  </si>
  <si>
    <t>If the signal is partly modality-general, held-out-modality performance should remain directionally supportive.</t>
  </si>
  <si>
    <t>Held-out modality</t>
  </si>
  <si>
    <t>Held-out modality excluded from all train-side fitting and tuning steps.</t>
  </si>
  <si>
    <t>Held-out modality comparisons against the locked pooled-modality baseline.</t>
  </si>
  <si>
    <t>Directionally supportive performance on held-out modalities without collapse.</t>
  </si>
  <si>
    <t>Performance collapses on held-out modalities, suggesting strong modality-bound signal.</t>
  </si>
  <si>
    <t>Modality-specific confounding, sample imbalance, limited modality coverage.</t>
  </si>
  <si>
    <t>Modality-generalization support only; not the primary confirmatory split.</t>
  </si>
  <si>
    <t>New robustness experiment focused on construct validity across modalities.</t>
  </si>
  <si>
    <t>Session-influence / jackknife robustness</t>
  </si>
  <si>
    <t>Session-influence robustness support</t>
  </si>
  <si>
    <t>Do the main conclusions remain directionally stable when one designated session or subset is omitted from the training pool?</t>
  </si>
  <si>
    <t>A stable result should not depend entirely on one unusually easy or unusually clean session.</t>
  </si>
  <si>
    <t>Omitted session or subset</t>
  </si>
  <si>
    <t>session-influence exclusion under the same held-out-session framework</t>
  </si>
  <si>
    <t>One omission at a time; omitted subset excluded from all train-side transforms and summaries.</t>
  </si>
  <si>
    <t>Jackknife-style omission analysis against the locked baseline.</t>
  </si>
  <si>
    <t>Use to assess whether the main result is overly dependent on a small subset of sessions.</t>
  </si>
  <si>
    <t>Directionally stable conclusions across omission reruns.</t>
  </si>
  <si>
    <t>Large swings or reversals after omitting a single subset.</t>
  </si>
  <si>
    <t>Repeated-measures dependence, influential sessions, small-sample fragility.</t>
  </si>
  <si>
    <t>Sensitivity evidence only; narrows claims if instability appears.</t>
  </si>
  <si>
    <t>New reliability-focused robustness experiment.</t>
  </si>
  <si>
    <t>Can the frozen confirmatory package be rerun with matching configs, summaries, and artifact bundles?</t>
  </si>
  <si>
    <t>A trustworthy final package should be operationally reproducible under the same frozen configuration.</t>
  </si>
  <si>
    <t>Rerun identity</t>
  </si>
  <si>
    <t>frozen rerun of the locked confirmatory analysis</t>
  </si>
  <si>
    <t>Low scientific leakage risk but high trustworthiness risk if reruns diverge.</t>
  </si>
  <si>
    <t>Frozen config hash, rerun comparison, artifact and summary verification.</t>
  </si>
  <si>
    <t>Final locked model and pipeline</t>
  </si>
  <si>
    <t>Artifact hash agreement; summary agreement</t>
  </si>
  <si>
    <t>Deterministic rerun comparison under frozen configuration.</t>
  </si>
  <si>
    <t>Require rerun agreement before treating the package as defense-ready.</t>
  </si>
  <si>
    <t>Matching configs, stable summaries, and auditable artifact agreement.</t>
  </si>
  <si>
    <t>Config drift, artifact mismatch, or unexplained rerun divergence.</t>
  </si>
  <si>
    <t>Operational reproducibility risk, tool drift, environment mismatch.</t>
  </si>
  <si>
    <t>Operational reproducibility only; strengthens trustworthiness but is not itself the main scientific claim.</t>
  </si>
  <si>
    <t>New audit-focused experiment.</t>
  </si>
  <si>
    <t>Thesis Experiment Program Workbook (v2.1)</t>
  </si>
  <si>
    <t>Single governance workbook for the thesis experiment program: design locking, data-slice control, grouping/split governance, robustness planning, confirmatory readiness, and thesis chapter mapping.</t>
  </si>
  <si>
    <t>How to use this workbook</t>
  </si>
  <si>
    <t>Follow the workflow in order: define experiments -&gt; define data slices and grouping strategies -&gt; lock decisions -&gt; mark confirmatory package -&gt; map claims and thesis sections -&gt; monitor readiness on the dashboard.</t>
  </si>
  <si>
    <t>Human-managed sheets</t>
  </si>
  <si>
    <t>Machine-managed sheets</t>
  </si>
  <si>
    <t>Generated_Design_Matrix; Effect_Summaries; Artifact_Registry; Run_Log; Trial_Results; Summary_Outputs. These should be written by scripts or carefully imported, not manually edited during analysis runs.</t>
  </si>
  <si>
    <t>Core scientific framing</t>
  </si>
  <si>
    <t>Primary claim = within-person held-out-session generalization. Secondary claim = frozen directional cross-person transfer. Robustness analyses support interpretation but do not replace the primary confirmatory claim.</t>
  </si>
  <si>
    <t>Current modification scope</t>
  </si>
  <si>
    <t>Freeze policy</t>
  </si>
  <si>
    <t>Confirmatory eligibility requires the main decision locks (D01-D07) plus a documented supporting robustness package. Supporting robustness analyses may be pre-specified and confirmatory-eligible without all being required for the main claim.</t>
  </si>
  <si>
    <t>Interpretation rules</t>
  </si>
  <si>
    <t>Weak-split analyses are inflation demonstrations only. Cross-person results are not population-level claims. Interpretability outputs are model-behavior evidence, not direct neural localization evidence.</t>
  </si>
  <si>
    <t>Workflow</t>
  </si>
  <si>
    <t>Grouping_Strategy_Map</t>
  </si>
  <si>
    <t>Defines split family, train/test grouping units, leakage safeguards, and interpretation boundaries for each grouping strategy identifier.</t>
  </si>
  <si>
    <t>Data_Profile</t>
  </si>
  <si>
    <t>Structured worksheet for manual or imported descriptive counts by subject/session/task/modality/target/class and by Data_Slice_ID, with formula-based sparsity/imbalance flags.</t>
  </si>
  <si>
    <t>Claim boundaries</t>
  </si>
  <si>
    <t>Within-person held-out-session claims and cross-person transfer claims are different scientific claims and must not be interpreted interchangeably.</t>
  </si>
  <si>
    <t>Weak-split policy</t>
  </si>
  <si>
    <t>Weak split results are allowed only as inflation demonstrations and diagnostic contrast. They are not confirmatory evidence.</t>
  </si>
  <si>
    <t>Governance additions</t>
  </si>
  <si>
    <t>Claim_Ledger enforces claim discipline. AI_Usage_Log supports tool transparency and human verification traceability. Ethics_Governance_Notes supports risk/mitigation accountability.</t>
  </si>
  <si>
    <t>Master_Experiments + Data_Selection_Design + Grouping_Strategy_Map -&gt; Run_Log -&gt; Decision_Log -&gt; Confirmatory_Set -&gt; Claim_Ledger/AI_Usage_Log/Ethics_Governance_Notes -&gt; Thesis_Map -&gt; Dashboard.</t>
  </si>
  <si>
    <t>This workbook is aligned to thesis method-choice/method-application workflow, data-slice/grouping governance, and leakage-aware reporting requirements.</t>
  </si>
  <si>
    <t>Schema_Metadata_Key</t>
  </si>
  <si>
    <t>Value</t>
  </si>
  <si>
    <t>workbook_schema_version</t>
  </si>
  <si>
    <t>workbook-v1.1-robustness-plan</t>
  </si>
  <si>
    <t>compiled_manifest_schema_version</t>
  </si>
  <si>
    <t>compiled-manifest-v1</t>
  </si>
  <si>
    <t>artifact_schema_version</t>
  </si>
  <si>
    <t>workbook_writeback_schema_version</t>
  </si>
  <si>
    <t>workbook-writeback-v1</t>
  </si>
  <si>
    <t>summary_result_schema_version</t>
  </si>
  <si>
    <t>summary-result-v1</t>
  </si>
  <si>
    <t>thesis_protocol_schema_version</t>
  </si>
  <si>
    <t>thesis-protocol-v1</t>
  </si>
  <si>
    <t>Generated by create_thesis_experiment_workbook.py (v2)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</si>
</sst>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5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sz val="11"/>
      <color rgb="FF4b556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8fafc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fff8e1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/>
      <top/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5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2" applyBorder="1" fontId="3" applyFont="1" fillId="4" applyFill="1" applyAlignment="1">
      <alignment horizontal="left" wrapText="1"/>
    </xf>
    <xf xfId="0" numFmtId="0" borderId="3" applyBorder="1" fontId="4" applyFont="1" fillId="0" applyAlignment="1">
      <alignment horizontal="left" wrapText="1"/>
    </xf>
    <xf xfId="0" numFmtId="0" borderId="3" applyBorder="1" fontId="2" applyFont="1" fillId="0" applyAlignment="1">
      <alignment horizontal="left" wrapText="1"/>
    </xf>
    <xf xfId="0" numFmtId="0" borderId="2" applyBorder="1" fontId="5" applyFont="1" fillId="5" applyFill="1" applyAlignment="1">
      <alignment horizontal="left" wrapText="1"/>
    </xf>
    <xf xfId="0" numFmtId="0" borderId="1" applyBorder="1" fontId="2" applyFont="1" fillId="3" applyFill="1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3" applyBorder="1" fontId="2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2" applyBorder="1" fontId="5" applyFont="1" fillId="4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0" fontId="0" fillId="0" applyAlignment="1">
      <alignment horizontal="left"/>
    </xf>
    <xf xfId="0" numFmtId="0" borderId="2" applyBorder="1" fontId="6" applyFont="1" fillId="4" applyFill="1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1" applyBorder="1" fontId="2" applyFont="1" fillId="5" applyFill="1" applyAlignment="1">
      <alignment horizontal="left"/>
    </xf>
    <xf xfId="0" numFmtId="3" applyNumberFormat="1" borderId="1" applyBorder="1" fontId="2" applyFont="1" fillId="0" applyAlignment="1">
      <alignment horizontal="left" vertical="top" wrapText="1"/>
    </xf>
    <xf xfId="0" numFmtId="0" borderId="4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3" applyNumberFormat="1" borderId="6" applyBorder="1" fontId="2" applyFont="1" fillId="0" applyAlignment="1">
      <alignment horizontal="left"/>
    </xf>
    <xf xfId="0" numFmtId="0" borderId="7" applyBorder="1" fontId="2" applyFont="1" fillId="0" applyAlignment="1">
      <alignment horizontal="left"/>
    </xf>
    <xf xfId="0" numFmtId="0" borderId="8" applyBorder="1" fontId="2" applyFont="1" fillId="0" applyAlignment="1">
      <alignment horizontal="left"/>
    </xf>
    <xf xfId="0" numFmtId="0" borderId="2" applyBorder="1" fontId="2" applyFont="1" fillId="5" applyFill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2" applyFont="1" fillId="3" applyFill="1" applyAlignment="1">
      <alignment horizontal="right"/>
    </xf>
    <xf xfId="0" numFmtId="0" borderId="1" applyBorder="1" fontId="2" applyFont="1" fillId="3" applyFill="1" applyAlignment="1">
      <alignment horizontal="left"/>
    </xf>
    <xf xfId="0" numFmtId="3" applyNumberFormat="1" borderId="9" applyBorder="1" fontId="2" applyFont="1" fillId="0" applyAlignment="1">
      <alignment horizontal="left"/>
    </xf>
    <xf xfId="0" numFmtId="0" borderId="9" applyBorder="1" fontId="2" applyFont="1" fillId="0" applyAlignment="1">
      <alignment horizontal="left"/>
    </xf>
    <xf xfId="0" numFmtId="0" borderId="10" applyBorder="1" fontId="2" applyFont="1" fillId="0" applyAlignment="1">
      <alignment horizontal="left"/>
    </xf>
    <xf xfId="0" numFmtId="3" applyNumberFormat="1" borderId="1" applyBorder="1" fontId="1" applyFont="1" fillId="2" applyFill="1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3" applyNumberFormat="1" borderId="1" applyBorder="1" fontId="2" applyFont="1" fillId="3" applyFill="1" applyAlignment="1">
      <alignment horizontal="left" wrapText="1"/>
    </xf>
    <xf xfId="0" numFmtId="3" applyNumberFormat="1" borderId="0" fontId="0" fillId="0" applyAlignment="1">
      <alignment horizontal="left"/>
    </xf>
    <xf xfId="0" numFmtId="0" borderId="2" applyBorder="1" fontId="5" applyFont="1" fillId="4" applyFill="1" applyAlignment="1">
      <alignment horizontal="left" wrapText="1"/>
    </xf>
    <xf xfId="0" numFmtId="3" applyNumberFormat="1" borderId="3" applyBorder="1" fontId="4" applyFont="1" fillId="0" applyAlignment="1">
      <alignment horizontal="right" wrapText="1"/>
    </xf>
    <xf xfId="0" numFmtId="3" applyNumberFormat="1" borderId="1" applyBorder="1" fontId="2" applyFont="1" fillId="0" applyAlignment="1">
      <alignment horizontal="right" wrapText="1"/>
    </xf>
    <xf xfId="0" numFmtId="3" applyNumberFormat="1" borderId="1" applyBorder="1" fontId="2" applyFont="1" fillId="3" applyFill="1" applyAlignment="1">
      <alignment horizontal="right" wrapText="1"/>
    </xf>
    <xf xfId="0" numFmtId="3" applyNumberFormat="1" borderId="0" fontId="0" fillId="0" applyAlignment="1">
      <alignment horizontal="left" wrapText="1"/>
    </xf>
    <xf xfId="0" numFmtId="0" borderId="2" applyBorder="1" fontId="7" applyFont="1" fillId="4" applyFill="1" applyAlignment="1">
      <alignment horizontal="left" wrapText="1"/>
    </xf>
    <xf xfId="0" numFmtId="0" borderId="1" applyBorder="1" fontId="2" applyFont="1" fillId="5" applyFill="1" applyAlignment="1">
      <alignment horizontal="left" wrapText="1"/>
    </xf>
    <xf xfId="0" numFmtId="0" borderId="1" applyBorder="1" fontId="2" applyFont="1" fillId="0" applyAlignment="1">
      <alignment horizontal="left" vertical="top" wrapText="1"/>
    </xf>
    <xf xfId="0" numFmtId="0" borderId="6" applyBorder="1" fontId="2" applyFont="1" fillId="0" applyAlignment="1">
      <alignment horizontal="left"/>
    </xf>
    <xf xfId="0" numFmtId="0" borderId="1" applyBorder="1" fontId="2" applyFont="1" fillId="6" applyFill="1" applyAlignment="1">
      <alignment horizontal="left" vertical="top" wrapText="1"/>
    </xf>
    <xf xfId="0" numFmtId="0" borderId="3" applyBorder="1" fontId="8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worksheets/sheet23.xml" Type="http://schemas.openxmlformats.org/officeDocument/2006/relationships/worksheet" Id="rId23"/><Relationship Target="worksheets/sheet24.xml" Type="http://schemas.openxmlformats.org/officeDocument/2006/relationships/worksheet" Id="rId24"/><Relationship Target="worksheets/sheet25.xml" Type="http://schemas.openxmlformats.org/officeDocument/2006/relationships/worksheet" Id="rId25"/><Relationship Target="worksheets/sheet26.xml" Type="http://schemas.openxmlformats.org/officeDocument/2006/relationships/worksheet" Id="rId26"/><Relationship Target="worksheets/sheet27.xml" Type="http://schemas.openxmlformats.org/officeDocument/2006/relationships/worksheet" Id="rId27"/><Relationship Target="worksheets/sheet28.xml" Type="http://schemas.openxmlformats.org/officeDocument/2006/relationships/worksheet" Id="rId28"/><Relationship Target="worksheets/sheet29.xml" Type="http://schemas.openxmlformats.org/officeDocument/2006/relationships/worksheet" Id="rId29"/><Relationship Target="worksheets/sheet30.xml" Type="http://schemas.openxmlformats.org/officeDocument/2006/relationships/worksheet" Id="rId30"/><Relationship Target="worksheets/sheet31.xml" Type="http://schemas.openxmlformats.org/officeDocument/2006/relationships/worksheet" Id="rId31"/><Relationship Target="worksheets/sheet32.xml" Type="http://schemas.openxmlformats.org/officeDocument/2006/relationships/worksheet" Id="rId32"/><Relationship Target="sharedStrings.xml" Type="http://schemas.openxmlformats.org/officeDocument/2006/relationships/sharedStrings" Id="rId33"/><Relationship Target="styles.xml" Type="http://schemas.openxmlformats.org/officeDocument/2006/relationships/styles" Id="rId34"/><Relationship Target="theme/theme1.xml" Type="http://schemas.openxmlformats.org/officeDocument/2006/relationships/theme" Id="rId35"/></Relationships>
</file>

<file path=xl/tables/table1.xml><?xml version="1.0" encoding="utf-8"?>
<table xmlns="http://schemas.openxmlformats.org/spreadsheetml/2006/main" ref="A1:H31" displayName="EthicsTable" name="EthicsTable" id="1" totalsRowShown="0">
  <autoFilter ref="A1:H31"/>
  <tableColumns count="8">
    <tableColumn name="Note_ID" id="1"/>
    <tableColumn name="Experiment_ID_or_Decision_ID" id="2"/>
    <tableColumn name="Topic" id="3"/>
    <tableColumn name="Risk_or_Concern" id="4"/>
    <tableColumn name="Mitigation_or_Response" id="5"/>
    <tableColumn name="Thesis_Section" id="6"/>
    <tableColumn name="Status" id="7"/>
    <tableColumn name="Notes" id="8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J41" displayName="AIUsageTable" name="AIUsageTable" id="2" totalsRowShown="0">
  <autoFilter ref="A1:J41"/>
  <tableColumns count="10">
    <tableColumn name="Entry_ID" id="1"/>
    <tableColumn name="Date" id="2"/>
    <tableColumn name="Task" id="3"/>
    <tableColumn name="Tool" id="4"/>
    <tableColumn name="Input_Summary" id="5"/>
    <tableColumn name="Output_Summary" id="6"/>
    <tableColumn name="What_Was_Adopted" id="7"/>
    <tableColumn name="Human_Verification_Status" id="8"/>
    <tableColumn name="Thesis_Use" id="9"/>
    <tableColumn name="Notes" id="10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H31" displayName="ClaimLedgerTable" name="ClaimLedgerTable" id="3" totalsRowShown="0">
  <autoFilter ref="A1:H31"/>
  <tableColumns count="8">
    <tableColumn name="Claim_ID" id="1"/>
    <tableColumn name="Claim_Text" id="2"/>
    <tableColumn name="Claim_Type" id="3"/>
    <tableColumn name="Supported_By_Experiments" id="4"/>
    <tableColumn name="Evidence_Status" id="5"/>
    <tableColumn name="Writing_Location" id="6"/>
    <tableColumn name="Interpretation_Limit" id="7"/>
    <tableColumn name="Notes" id="8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A1:H20" displayName="ThesisMapTable" name="ThesisMapTable" id="4" totalsRowShown="0">
  <autoFilter ref="A1:H20"/>
  <tableColumns count="8">
    <tableColumn name="Experiment_ID" id="1"/>
    <tableColumn name="Chapter" id="2"/>
    <tableColumn name="Section" id="3"/>
    <tableColumn name="Purpose_in_Thesis" id="4"/>
    <tableColumn name="Main_or_Supporting" id="5"/>
    <tableColumn name="Method_Choice_or_Method_Application_or_Discussion" id="6"/>
    <tableColumn name="What_Claim_or_Decision_It_Supports" id="7"/>
    <tableColumn name="Notes_for_Writing" id="8"/>
  </tableColumns>
  <tableStyleInfo name="TableStyleLight1" showColumnStripes="0" showRowStripes="1" showLastColumn="0" showFirstColumn="0"/>
</table>
</file>

<file path=xl/tables/table5.xml><?xml version="1.0" encoding="utf-8"?>
<table xmlns="http://schemas.openxmlformats.org/spreadsheetml/2006/main" ref="A1:L6" displayName="ConfirmatoryTable" name="ConfirmatoryTable" id="5" totalsRowShown="0">
  <autoFilter ref="A1:L6"/>
  <tableColumns count="12">
    <tableColumn name="Experiment_ID" id="1"/>
    <tableColumn name="Short_Title" id="2"/>
    <tableColumn name="Final_Pipeline_Version" id="3"/>
    <tableColumn name="Claim_Supported" id="4"/>
    <tableColumn name="Status" id="5"/>
    <tableColumn name="Eligible_to_Run" id="6"/>
    <tableColumn name="Completed" id="7"/>
    <tableColumn name="Required_for_Main_Claim" id="8"/>
    <tableColumn name="Ready_for_Chapter_4" id="9"/>
    <tableColumn name="Confirmatory_Eligible" id="10"/>
    <tableColumn name="Main_Result_Summary" id="11"/>
    <tableColumn name="Robustness_Status" id="12"/>
  </tableColumns>
  <tableStyleInfo name="TableStyleLight1" showColumnStripes="0" showRowStripes="1" showLastColumn="0" showFirstColumn="0"/>
</table>
</file>

<file path=xl/tables/table6.xml><?xml version="1.0" encoding="utf-8"?>
<table xmlns="http://schemas.openxmlformats.org/spreadsheetml/2006/main" ref="A1:N9" displayName="DecisionLogTable" name="DecisionLogTable" id="6" totalsRowShown="0">
  <autoFilter ref="A1:N9"/>
  <tableColumns count="14">
    <tableColumn name="Decision_ID" id="1"/>
    <tableColumn name="Decision_Topic" id="2"/>
    <tableColumn name="Stage" id="3"/>
    <tableColumn name="Candidate_Options" id="4"/>
    <tableColumn name="Evidence_Experiments" id="5"/>
    <tableColumn name="Decision_Criteria" id="6"/>
    <tableColumn name="Chosen_Option" id="7"/>
    <tableColumn name="Why_Chosen" id="8"/>
    <tableColumn name="Why_Not_Others" id="9"/>
    <tableColumn name="Risks_or_Tradeoffs" id="10"/>
    <tableColumn name="Grounding_Section_or_Source_Packet" id="11"/>
    <tableColumn name="Date_Locked" id="12"/>
    <tableColumn name="Freeze_Status" id="13"/>
    <tableColumn name="Thesis_Use" id="14"/>
  </tableColumns>
  <tableStyleInfo name="TableStyleLight1" showColumnStripes="0" showRowStripes="1" showLastColumn="0" showFirstColumn="0"/>
</table>
</file>

<file path=xl/tables/table7.xml><?xml version="1.0" encoding="utf-8"?>
<table xmlns="http://schemas.openxmlformats.org/spreadsheetml/2006/main" ref="A1:AK41" displayName="RunLogTable" name="RunLogTable" id="7" totalsRowShown="0">
  <autoFilter ref="A1:AK41"/>
  <tableColumns count="37">
    <tableColumn name="Run_ID" id="1"/>
    <tableColumn name="Experiment_ID" id="2"/>
    <tableColumn name="Run_Date" id="3"/>
    <tableColumn name="Dataset_Name" id="4"/>
    <tableColumn name="Data_Subset" id="5"/>
    <tableColumn name="Data_Slice_ID" id="6"/>
    <tableColumn name="Grouping_Strategy_ID" id="7"/>
    <tableColumn name="Code_Commit_or_Version" id="8"/>
    <tableColumn name="Config_File_or_Path" id="9"/>
    <tableColumn name="Random_Seed" id="10"/>
    <tableColumn name="Target" id="11"/>
    <tableColumn name="Split_ID_or_Fold_Definition" id="12"/>
    <tableColumn name="Train_Group_Rule" id="13"/>
    <tableColumn name="Test_Group_Rule" id="14"/>
    <tableColumn name="Transfer_Direction" id="15"/>
    <tableColumn name="Session_Coverage" id="16"/>
    <tableColumn name="Task_Coverage" id="17"/>
    <tableColumn name="Modality_Coverage" id="18"/>
    <tableColumn name="Model" id="19"/>
    <tableColumn name="Feature_Set" id="20"/>
    <tableColumn name="Run_Type" id="21"/>
    <tableColumn name="Affects_Frozen_Pipeline" id="22"/>
    <tableColumn name="Eligible_for_Method_Decision" id="23"/>
    <tableColumn name="Sample_Count" id="24"/>
    <tableColumn name="Class_Counts" id="25"/>
    <tableColumn name="Imbalance_Status" id="26"/>
    <tableColumn name="Leakage_Check_Status" id="27"/>
    <tableColumn name="Primary_Metric_Value" id="28"/>
    <tableColumn name="Secondary_Metric_1" id="29"/>
    <tableColumn name="Secondary_Metric_2" id="30"/>
    <tableColumn name="Robustness_Output_Summary" id="31"/>
    <tableColumn name="Result_Summary" id="32"/>
    <tableColumn name="Preliminary_Interpretation" id="33"/>
    <tableColumn name="Reviewed" id="34"/>
    <tableColumn name="Used_in_Thesis" id="35"/>
    <tableColumn name="Artifact_Path" id="36"/>
    <tableColumn name="Notes" id="37"/>
  </tableColumns>
  <tableStyleInfo name="TableStyleLight1" showColumnStripes="0" showRowStripes="1" showLastColumn="0" showFirstColumn="0"/>
</table>
</file>

<file path=xl/tables/table8.xml><?xml version="1.0" encoding="utf-8"?>
<table xmlns="http://schemas.openxmlformats.org/spreadsheetml/2006/main" ref="A12:E20" displayName="ProfileSubjectTable" name="ProfileSubjectTable" id="8" totalsRowShown="0">
  <autoFilter ref="A12:E20"/>
  <tableColumns count="5">
    <tableColumn name="Subject_ID" id="1"/>
    <tableColumn name="Count" id="2"/>
    <tableColumn name="Share_of_Block" id="3"/>
    <tableColumn name="Flag" id="4"/>
    <tableColumn name="Notes" id="5"/>
  </tableColumns>
  <tableStyleInfo name="TableStyleLight1" showColumnStripes="0" showRowStripes="1" showLastColumn="0" showFirstColumn="0"/>
</table>
</file>

<file path=xl/tables/table9.xml><?xml version="1.0" encoding="utf-8"?>
<table xmlns="http://schemas.openxmlformats.org/spreadsheetml/2006/main" ref="A24:E34" displayName="ProfileSessionTable" name="ProfileSessionTable" id="9" totalsRowShown="0">
  <autoFilter ref="A24:E34"/>
  <tableColumns count="5">
    <tableColumn name="Session_ID" id="1"/>
    <tableColumn name="Count" id="2"/>
    <tableColumn name="Share_of_Block" id="3"/>
    <tableColumn name="Flag" id="4"/>
    <tableColumn name="Notes" id="5"/>
  </tableColumns>
  <tableStyleInfo name="TableStyleLight1" showColumnStripes="0" showRowStripes="1" showLastColumn="0" showFirstColumn="0"/>
</table>
</file>

<file path=xl/tables/table10.xml><?xml version="1.0" encoding="utf-8"?>
<table xmlns="http://schemas.openxmlformats.org/spreadsheetml/2006/main" ref="A38:E45" displayName="ProfileTaskTable" name="ProfileTaskTable" id="10" totalsRowShown="0">
  <autoFilter ref="A38:E45"/>
  <tableColumns count="5">
    <tableColumn name="Task_ID" id="1"/>
    <tableColumn name="Count" id="2"/>
    <tableColumn name="Share_of_Block" id="3"/>
    <tableColumn name="Flag" id="4"/>
    <tableColumn name="Notes" id="5"/>
  </tableColumns>
  <tableStyleInfo name="TableStyleLight1" showColumnStripes="0" showRowStripes="1" showLastColumn="0" showFirstColumn="0"/>
</table>
</file>

<file path=xl/tables/table11.xml><?xml version="1.0" encoding="utf-8"?>
<table xmlns="http://schemas.openxmlformats.org/spreadsheetml/2006/main" ref="A49:E55" displayName="ProfileModalityTable" name="ProfileModalityTable" id="11" totalsRowShown="0">
  <autoFilter ref="A49:E55"/>
  <tableColumns count="5">
    <tableColumn name="Modality_ID" id="1"/>
    <tableColumn name="Count" id="2"/>
    <tableColumn name="Share_of_Block" id="3"/>
    <tableColumn name="Flag" id="4"/>
    <tableColumn name="Notes" id="5"/>
  </tableColumns>
  <tableStyleInfo name="TableStyleLight1" showColumnStripes="0" showRowStripes="1" showLastColumn="0" showFirstColumn="0"/>
</table>
</file>

<file path=xl/tables/table12.xml><?xml version="1.0" encoding="utf-8"?>
<table xmlns="http://schemas.openxmlformats.org/spreadsheetml/2006/main" ref="A59:E65" displayName="ProfileTargetClassTable" name="ProfileTargetClassTable" id="12" totalsRowShown="0">
  <autoFilter ref="A59:E65"/>
  <tableColumns count="5">
    <tableColumn name="Target_or_Class_ID" id="1"/>
    <tableColumn name="Count" id="2"/>
    <tableColumn name="Share_of_Block" id="3"/>
    <tableColumn name="Flag" id="4"/>
    <tableColumn name="Notes" id="5"/>
  </tableColumns>
  <tableStyleInfo name="TableStyleLight1" showColumnStripes="0" showRowStripes="1" showLastColumn="0" showFirstColumn="0"/>
</table>
</file>

<file path=xl/tables/table13.xml><?xml version="1.0" encoding="utf-8"?>
<table xmlns="http://schemas.openxmlformats.org/spreadsheetml/2006/main" ref="A70:E80" displayName="ProfileDataSliceTable" name="ProfileDataSliceTable" id="13" totalsRowShown="0">
  <autoFilter ref="A70:E80"/>
  <tableColumns count="5">
    <tableColumn name="Data_Slice_ID" id="1"/>
    <tableColumn name="Count" id="2"/>
    <tableColumn name="Share_of_Block" id="3"/>
    <tableColumn name="Flag" id="4"/>
    <tableColumn name="Notes" id="5"/>
  </tableColumns>
  <tableStyleInfo name="TableStyleLight1" showColumnStripes="0" showRowStripes="1" showLastColumn="0" showFirstColumn="0"/>
</table>
</file>

<file path=xl/tables/table14.xml><?xml version="1.0" encoding="utf-8"?>
<table xmlns="http://schemas.openxmlformats.org/spreadsheetml/2006/main" ref="A1:O41" displayName="GroupingStrategyTable" name="GroupingStrategyTable" id="14" totalsRowShown="0">
  <autoFilter ref="A1:O41"/>
  <tableColumns count="15">
    <tableColumn name="Grouping_Strategy_ID" id="1"/>
    <tableColumn name="Strategy_Name" id="2"/>
    <tableColumn name="Split_Family" id="3"/>
    <tableColumn name="Train_Group_Unit" id="4"/>
    <tableColumn name="Test_Group_Unit" id="5"/>
    <tableColumn name="Grouping_Level" id="6"/>
    <tableColumn name="Train_Rule" id="7"/>
    <tableColumn name="Test_Rule" id="8"/>
    <tableColumn name="Leakage_Safeguard" id="9"/>
    <tableColumn name="Suitable_For" id="10"/>
    <tableColumn name="Not_Suitable_For" id="11"/>
    <tableColumn name="Interpretation_Boundary" id="12"/>
    <tableColumn name="Typical_Experiments" id="13"/>
    <tableColumn name="Thesis_Section" id="14"/>
    <tableColumn name="Notes" id="15"/>
  </tableColumns>
  <tableStyleInfo name="TableStyleLight1" showColumnStripes="0" showRowStripes="1" showLastColumn="0" showFirstColumn="0"/>
</table>
</file>

<file path=xl/tables/table15.xml><?xml version="1.0" encoding="utf-8"?>
<table xmlns="http://schemas.openxmlformats.org/spreadsheetml/2006/main" ref="A1:R41" displayName="DataSelectionTable" name="DataSelectionTable" id="15" totalsRowShown="0">
  <autoFilter ref="A1:R41"/>
  <tableColumns count="18">
    <tableColumn name="Data_Slice_ID" id="1"/>
    <tableColumn name="Slice_Name" id="2"/>
    <tableColumn name="Purpose" id="3"/>
    <tableColumn name="Subject_Scope" id="4"/>
    <tableColumn name="Session_Scope" id="5"/>
    <tableColumn name="Time_Window" id="6"/>
    <tableColumn name="Task_Scope" id="7"/>
    <tableColumn name="Modality_Scope" id="8"/>
    <tableColumn name="Target_Type" id="9"/>
    <tableColumn name="Label_Set" id="10"/>
    <tableColumn name="Inclusion_Rule" id="11"/>
    <tableColumn name="Exclusion_Rule" id="12"/>
    <tableColumn name="Class_Balance_Policy" id="13"/>
    <tableColumn name="Minimum_Samples_Rule" id="14"/>
    <tableColumn name="Leakage_Risk" id="15"/>
    <tableColumn name="Valid_Use_Case" id="16"/>
    <tableColumn name="Thesis_Use" id="17"/>
    <tableColumn name="Notes" id="18"/>
  </tableColumns>
  <tableStyleInfo name="TableStyleLight1" showColumnStripes="0" showRowStripes="1" showLastColumn="0" showFirstColumn="0"/>
</table>
</file>

<file path=xl/tables/table16.xml><?xml version="1.0" encoding="utf-8"?>
<table xmlns="http://schemas.openxmlformats.org/spreadsheetml/2006/main" ref="A2:N61" displayName="SummaryOutputsTable" name="SummaryOutputsTable" id="16" totalsRowShown="0">
  <autoFilter ref="A2:N61"/>
  <tableColumns count="14">
    <tableColumn name="summary_type" id="1"/>
    <tableColumn name="summary_key" id="2"/>
    <tableColumn name="primary_metric_name" id="3"/>
    <tableColumn name="primary_metric_value" id="4"/>
    <tableColumn name="run_id" id="5"/>
    <tableColumn name="experiment_id" id="6"/>
    <tableColumn name="start_section" id="7"/>
    <tableColumn name="end_section" id="8"/>
    <tableColumn name="model" id="9"/>
    <tableColumn name="cv" id="10"/>
    <tableColumn name="target" id="11"/>
    <tableColumn name="xai_method" id="12"/>
    <tableColumn name="report_path" id="13"/>
    <tableColumn name="notes" id="14"/>
  </tableColumns>
  <tableStyleInfo name="TableStyleLight1" showColumnStripes="0" showRowStripes="1" showLastColumn="0" showFirstColumn="0"/>
</table>
</file>

<file path=xl/tables/table17.xml><?xml version="1.0" encoding="utf-8"?>
<table xmlns="http://schemas.openxmlformats.org/spreadsheetml/2006/main" ref="A2:N61" displayName="TrialResultsTable" name="TrialResultsTable" id="17" totalsRowShown="0">
  <autoFilter ref="A2:N61"/>
  <tableColumns count="14">
    <tableColumn name="trial_id" id="1"/>
    <tableColumn name="experiment_id" id="2"/>
    <tableColumn name="run_id" id="3"/>
    <tableColumn name="status" id="4"/>
    <tableColumn name="primary_metric_name" id="5"/>
    <tableColumn name="primary_metric_value" id="6"/>
    <tableColumn name="report_path" id="7"/>
    <tableColumn name="metrics_path" id="8"/>
    <tableColumn name="artifact_bundle" id="9"/>
    <tableColumn name="notes" id="10"/>
    <tableColumn name="study_id" id="11"/>
    <tableColumn name="cell_id" id="12"/>
    <tableColumn name="factor_settings_json" id="13"/>
    <tableColumn name="resolved_params_json" id="14"/>
  </tableColumns>
  <tableStyleInfo name="TableStyleLight1" showColumnStripes="0" showRowStripes="1" showLastColumn="0" showFirstColumn="0"/>
</table>
</file>

<file path=xl/tables/table18.xml><?xml version="1.0" encoding="utf-8"?>
<table xmlns="http://schemas.openxmlformats.org/spreadsheetml/2006/main" ref="A2:H61" displayName="MachineStatusTable" name="MachineStatusTable" id="18" totalsRowShown="0">
  <autoFilter ref="A2:H61"/>
  <tableColumns count="8">
    <tableColumn name="machine_id" id="1"/>
    <tableColumn name="hostname" id="2"/>
    <tableColumn name="environment_name" id="3"/>
    <tableColumn name="python_version" id="4"/>
    <tableColumn name="gpu" id="5"/>
    <tableColumn name="status" id="6"/>
    <tableColumn name="last_checked" id="7"/>
    <tableColumn name="notes" id="8"/>
  </tableColumns>
  <tableStyleInfo name="TableStyleLight1" showColumnStripes="0" showRowStripes="1" showLastColumn="0" showFirstColumn="0"/>
</table>
</file>

<file path=xl/tables/table19.xml><?xml version="1.0" encoding="utf-8"?>
<table xmlns="http://schemas.openxmlformats.org/spreadsheetml/2006/main" ref="A2:H61" displayName="ObjectivesTable" name="ObjectivesTable" id="19" totalsRowShown="0">
  <autoFilter ref="A2:H61"/>
  <tableColumns count="8">
    <tableColumn name="objective_id" id="1"/>
    <tableColumn name="objective_text" id="2"/>
    <tableColumn name="stage" id="3"/>
    <tableColumn name="linked_experiment_id" id="4"/>
    <tableColumn name="primary_metric" id="5"/>
    <tableColumn name="success_criterion" id="6"/>
    <tableColumn name="status" id="7"/>
    <tableColumn name="notes" id="8"/>
  </tableColumns>
  <tableStyleInfo name="TableStyleLight1" showColumnStripes="0" showRowStripes="1" showLastColumn="0" showFirstColumn="0"/>
</table>
</file>

<file path=xl/tables/table20.xml><?xml version="1.0" encoding="utf-8"?>
<table xmlns="http://schemas.openxmlformats.org/spreadsheetml/2006/main" ref="A2:G61" displayName="FixedConfigsTable" name="FixedConfigsTable" id="20" totalsRowShown="0">
  <autoFilter ref="A2:G61"/>
  <tableColumns count="7">
    <tableColumn name="config_key" id="1"/>
    <tableColumn name="config_value" id="2"/>
    <tableColumn name="scope" id="3"/>
    <tableColumn name="locked" id="4"/>
    <tableColumn name="owner" id="5"/>
    <tableColumn name="last_updated" id="6"/>
    <tableColumn name="notes" id="7"/>
  </tableColumns>
  <tableStyleInfo name="TableStyleLight1" showColumnStripes="0" showRowStripes="1" showLastColumn="0" showFirstColumn="0"/>
</table>
</file>

<file path=xl/tables/table21.xml><?xml version="1.0" encoding="utf-8"?>
<table xmlns="http://schemas.openxmlformats.org/spreadsheetml/2006/main" ref="A2:J61" displayName="WorkbookArtifactRegistryTable" name="WorkbookArtifactRegistryTable" id="21" totalsRowShown="0">
  <autoFilter ref="A2:J61"/>
  <tableColumns count="10">
    <tableColumn name="artifact_id" id="1"/>
    <tableColumn name="artifact_type" id="2"/>
    <tableColumn name="run_id" id="3"/>
    <tableColumn name="status" id="4"/>
    <tableColumn name="created_at" id="5"/>
    <tableColumn name="path" id="6"/>
    <tableColumn name="upstream_artifact_ids" id="7"/>
    <tableColumn name="config_hash" id="8"/>
    <tableColumn name="code_ref" id="9"/>
    <tableColumn name="notes" id="10"/>
  </tableColumns>
  <tableStyleInfo name="TableStyleLight1" showColumnStripes="0" showRowStripes="1" showLastColumn="0" showFirstColumn="0"/>
</table>
</file>

<file path=xl/tables/table22.xml><?xml version="1.0" encoding="utf-8"?>
<table xmlns="http://schemas.openxmlformats.org/spreadsheetml/2006/main" ref="A2:AL61" displayName="StudyReviewTable" name="StudyReviewTable" id="22" totalsRowShown="0">
  <autoFilter ref="A2:AL61"/>
  <tableColumns count="38">
    <tableColumn name="study_id" id="1"/>
    <tableColumn name="study_name" id="2"/>
    <tableColumn name="intent" id="3"/>
    <tableColumn name="execution_disposition" id="4"/>
    <tableColumn name="execution_eligibility_status" id="5"/>
    <tableColumn name="warning_count" id="6"/>
    <tableColumn name="error_count" id="7"/>
    <tableColumn name="missing_fields_json" id="8"/>
    <tableColumn name="warnings_json" id="9"/>
    <tableColumn name="errors_json" id="10"/>
    <tableColumn name="question" id="11"/>
    <tableColumn name="generalization_claim" id="12"/>
    <tableColumn name="start_section" id="13"/>
    <tableColumn name="end_section" id="14"/>
    <tableColumn name="factors_json" id="15"/>
    <tableColumn name="fixed_controls_json" id="16"/>
    <tableColumn name="constraints_json" id="17"/>
    <tableColumn name="excluded_combination_count" id="18"/>
    <tableColumn name="expected_design_cells" id="19"/>
    <tableColumn name="expected_trials" id="20"/>
    <tableColumn name="primary_metric" id="21"/>
    <tableColumn name="secondary_metrics" id="22"/>
    <tableColumn name="cv_scheme" id="23"/>
    <tableColumn name="nested_cv" id="24"/>
    <tableColumn name="external_validation_planned" id="25"/>
    <tableColumn name="blocking_strategy" id="26"/>
    <tableColumn name="randomization_strategy" id="27"/>
    <tableColumn name="replication_strategy" id="28"/>
    <tableColumn name="replication_mode" id="29"/>
    <tableColumn name="num_repeats" id="30"/>
    <tableColumn name="random_seed_policy" id="31"/>
    <tableColumn name="rigor_checklist_status" id="32"/>
    <tableColumn name="analysis_plan_status" id="33"/>
    <tableColumn name="completed_trials" id="34"/>
    <tableColumn name="failed_trials" id="35"/>
    <tableColumn name="blocked_trials" id="36"/>
    <tableColumn name="dry_run_trials" id="37"/>
    <tableColumn name="notes" id="38"/>
  </tableColumns>
  <tableStyleInfo name="TableStyleLight1" showColumnStripes="0" showRowStripes="1" showLastColumn="0" showFirstColumn="0"/>
</table>
</file>

<file path=xl/tables/table23.xml><?xml version="1.0" encoding="utf-8"?>
<table xmlns="http://schemas.openxmlformats.org/spreadsheetml/2006/main" ref="A2:J61" displayName="EffectSummariesTable" name="EffectSummariesTable" id="23" totalsRowShown="0">
  <autoFilter ref="A2:J61"/>
  <tableColumns count="10">
    <tableColumn name="study_id" id="1"/>
    <tableColumn name="summary_type" id="2"/>
    <tableColumn name="summary_key" id="3"/>
    <tableColumn name="factor_level_key" id="4"/>
    <tableColumn name="interaction_key" id="5"/>
    <tableColumn name="primary_metric_name" id="6"/>
    <tableColumn name="mean_primary_metric_value" id="7"/>
    <tableColumn name="best_primary_metric_value" id="8"/>
    <tableColumn name="best_trial_id" id="9"/>
    <tableColumn name="notes" id="10"/>
  </tableColumns>
  <tableStyleInfo name="TableStyleLight1" showColumnStripes="0" showRowStripes="1" showLastColumn="0" showFirstColumn="0"/>
</table>
</file>

<file path=xl/tables/table24.xml><?xml version="1.0" encoding="utf-8"?>
<table xmlns="http://schemas.openxmlformats.org/spreadsheetml/2006/main" ref="A2:I61" displayName="GeneratedDesignMatrixTable" name="GeneratedDesignMatrixTable" id="24" totalsRowShown="0">
  <autoFilter ref="A2:I61"/>
  <tableColumns count="9">
    <tableColumn name="study_id" id="1"/>
    <tableColumn name="trial_id" id="2"/>
    <tableColumn name="cell_id" id="3"/>
    <tableColumn name="factor_settings_json" id="4"/>
    <tableColumn name="start_section" id="5"/>
    <tableColumn name="end_section" id="6"/>
    <tableColumn name="base_artifact_id" id="7"/>
    <tableColumn name="resolved_params_json" id="8"/>
    <tableColumn name="status" id="9"/>
  </tableColumns>
  <tableStyleInfo name="TableStyleLight1" showColumnStripes="0" showRowStripes="1" showLastColumn="0" showFirstColumn="0"/>
</table>
</file>

<file path=xl/tables/table25.xml><?xml version="1.0" encoding="utf-8"?>
<table xmlns="http://schemas.openxmlformats.org/spreadsheetml/2006/main" ref="A2:E61" displayName="BlockingReplicationTable" name="BlockingReplicationTable" id="25" totalsRowShown="0">
  <autoFilter ref="A2:E61"/>
  <tableColumns count="5">
    <tableColumn name="study_id" id="1"/>
    <tableColumn name="block_type" id="2"/>
    <tableColumn name="block_value" id="3"/>
    <tableColumn name="repeat_id" id="4"/>
    <tableColumn name="seed" id="5"/>
  </tableColumns>
  <tableStyleInfo name="TableStyleLight1" showColumnStripes="0" showRowStripes="1" showLastColumn="0" showFirstColumn="0"/>
</table>
</file>

<file path=xl/tables/table26.xml><?xml version="1.0" encoding="utf-8"?>
<table xmlns="http://schemas.openxmlformats.org/spreadsheetml/2006/main" ref="A2:F61" displayName="DesignConstraintsTable" name="DesignConstraintsTable" id="26" totalsRowShown="0">
  <autoFilter ref="A2:F61"/>
  <tableColumns count="6">
    <tableColumn name="study_id" id="1"/>
    <tableColumn name="if_factor" id="2"/>
    <tableColumn name="if_level" id="3"/>
    <tableColumn name="disallow_factor" id="4"/>
    <tableColumn name="disallow_level" id="5"/>
    <tableColumn name="reason" id="6"/>
  </tableColumns>
  <tableStyleInfo name="TableStyleLight1" showColumnStripes="0" showRowStripes="1" showLastColumn="0" showFirstColumn="0"/>
</table>
</file>

<file path=xl/tables/table27.xml><?xml version="1.0" encoding="utf-8"?>
<table xmlns="http://schemas.openxmlformats.org/spreadsheetml/2006/main" ref="A2:C61" displayName="DesignFixedControlsTable" name="DesignFixedControlsTable" id="27" totalsRowShown="0">
  <autoFilter ref="A2:C61"/>
  <tableColumns count="3">
    <tableColumn name="study_id" id="1"/>
    <tableColumn name="parameter_path" id="2"/>
    <tableColumn name="value" id="3"/>
  </tableColumns>
  <tableStyleInfo name="TableStyleLight1" showColumnStripes="0" showRowStripes="1" showLastColumn="0" showFirstColumn="0"/>
</table>
</file>

<file path=xl/tables/table28.xml><?xml version="1.0" encoding="utf-8"?>
<table xmlns="http://schemas.openxmlformats.org/spreadsheetml/2006/main" ref="A2:F61" displayName="FactorsTable" name="FactorsTable" id="28" totalsRowShown="0">
  <autoFilter ref="A2:F61"/>
  <tableColumns count="6">
    <tableColumn name="study_id" id="1"/>
    <tableColumn name="factor_name" id="2"/>
    <tableColumn name="section_name" id="3"/>
    <tableColumn name="parameter_path" id="4"/>
    <tableColumn name="factor_type" id="5"/>
    <tableColumn name="levels" id="6"/>
  </tableColumns>
  <tableStyleInfo name="TableStyleLight1" showColumnStripes="0" showRowStripes="1" showLastColumn="0" showFirstColumn="0"/>
</table>
</file>

<file path=xl/tables/table29.xml><?xml version="1.0" encoding="utf-8"?>
<table xmlns="http://schemas.openxmlformats.org/spreadsheetml/2006/main" ref="A2:I61" displayName="AnalysisPlanTable" name="AnalysisPlanTable" id="29" totalsRowShown="0">
  <autoFilter ref="A2:I61"/>
  <tableColumns count="9">
    <tableColumn name="study_id" id="1"/>
    <tableColumn name="primary_contrast" id="2"/>
    <tableColumn name="secondary_contrasts" id="3"/>
    <tableColumn name="aggregation_level" id="4"/>
    <tableColumn name="uncertainty_method" id="5"/>
    <tableColumn name="multiplicity_handling" id="6"/>
    <tableColumn name="interaction_reporting_policy" id="7"/>
    <tableColumn name="interpretation_rules" id="8"/>
    <tableColumn name="notes" id="9"/>
  </tableColumns>
  <tableStyleInfo name="TableStyleLight1" showColumnStripes="0" showRowStripes="1" showLastColumn="0" showFirstColumn="0"/>
</table>
</file>

<file path=xl/tables/table30.xml><?xml version="1.0" encoding="utf-8"?>
<table xmlns="http://schemas.openxmlformats.org/spreadsheetml/2006/main" ref="A2:M61" displayName="StudyRigorChecklistTable" name="StudyRigorChecklistTable" id="30" totalsRowShown="0">
  <autoFilter ref="A2:M61"/>
  <tableColumns count="13">
    <tableColumn name="study_id" id="1"/>
    <tableColumn name="leakage_risk_reviewed" id="2"/>
    <tableColumn name="deployment_boundary_defined" id="3"/>
    <tableColumn name="unit_of_analysis_defined" id="4"/>
    <tableColumn name="data_hierarchy_defined" id="5"/>
    <tableColumn name="missing_data_plan" id="6"/>
    <tableColumn name="class_imbalance_plan" id="7"/>
    <tableColumn name="subgroup_plan" id="8"/>
    <tableColumn name="fairness_or_applicability_notes" id="9"/>
    <tableColumn name="reporting_checklist_completed" id="10"/>
    <tableColumn name="risk_of_bias_reviewed" id="11"/>
    <tableColumn name="confirmatory_lock_applied" id="12"/>
    <tableColumn name="analysis_notes" id="13"/>
  </tableColumns>
  <tableStyleInfo name="TableStyleLight1" showColumnStripes="0" showRowStripes="1" showLastColumn="0" showFirstColumn="0"/>
</table>
</file>

<file path=xl/tables/table31.xml><?xml version="1.0" encoding="utf-8"?>
<table xmlns="http://schemas.openxmlformats.org/spreadsheetml/2006/main" ref="A2:W61" displayName="StudyDesignTable" name="StudyDesignTable" id="31" totalsRowShown="0">
  <autoFilter ref="A2:W61"/>
  <tableColumns count="23">
    <tableColumn name="study_id" id="1"/>
    <tableColumn name="study_name" id="2"/>
    <tableColumn name="enabled" id="3"/>
    <tableColumn name="study_type" id="4"/>
    <tableColumn name="intent" id="5"/>
    <tableColumn name="question" id="6"/>
    <tableColumn name="generalization_claim" id="7"/>
    <tableColumn name="start_section" id="8"/>
    <tableColumn name="end_section" id="9"/>
    <tableColumn name="base_artifact_id" id="10"/>
    <tableColumn name="primary_metric" id="11"/>
    <tableColumn name="secondary_metrics" id="12"/>
    <tableColumn name="cv_scheme" id="13"/>
    <tableColumn name="nested_cv" id="14"/>
    <tableColumn name="external_validation_planned" id="15"/>
    <tableColumn name="blocking_strategy" id="16"/>
    <tableColumn name="randomization_strategy" id="17"/>
    <tableColumn name="replication_mode" id="18"/>
    <tableColumn name="replication_strategy" id="19"/>
    <tableColumn name="num_repeats" id="20"/>
    <tableColumn name="random_seed_policy" id="21"/>
    <tableColumn name="stopping_rule" id="22"/>
    <tableColumn name="notes" id="23"/>
  </tableColumns>
  <tableStyleInfo name="TableStyleLight1" showColumnStripes="0" showRowStripes="1" showLastColumn="0" showFirstColumn="0"/>
</table>
</file>

<file path=xl/tables/table32.xml><?xml version="1.0" encoding="utf-8"?>
<table xmlns="http://schemas.openxmlformats.org/spreadsheetml/2006/main" ref="A2:I61" displayName="SearchSpacesTable" name="SearchSpacesTable" id="32" totalsRowShown="0">
  <autoFilter ref="A2:I61"/>
  <tableColumns count="9">
    <tableColumn name="search_space_id" id="1"/>
    <tableColumn name="enabled" id="2"/>
    <tableColumn name="optimization_mode" id="3"/>
    <tableColumn name="parameter_name" id="4"/>
    <tableColumn name="parameter_values" id="5"/>
    <tableColumn name="parameter_scope" id="6"/>
    <tableColumn name="objective_metric" id="7"/>
    <tableColumn name="max_trials" id="8"/>
    <tableColumn name="notes" id="9"/>
  </tableColumns>
  <tableStyleInfo name="TableStyleLight1" showColumnStripes="0" showRowStripes="1" showLastColumn="0" showFirstColumn="0"/>
</table>
</file>

<file path=xl/tables/table33.xml><?xml version="1.0" encoding="utf-8"?>
<table xmlns="http://schemas.openxmlformats.org/spreadsheetml/2006/main" ref="A1:O81" displayName="ExperimentDefinitionsTable" name="ExperimentDefinitionsTable" id="33" totalsRowShown="0">
  <autoFilter ref="A1:O81"/>
  <tableColumns count="15">
    <tableColumn name="experiment_id" id="1"/>
    <tableColumn name="enabled" id="2"/>
    <tableColumn name="start_section" id="3"/>
    <tableColumn name="end_section" id="4"/>
    <tableColumn name="base_artifact_id" id="5"/>
    <tableColumn name="target" id="6"/>
    <tableColumn name="cv" id="7"/>
    <tableColumn name="model" id="8"/>
    <tableColumn name="subject" id="9"/>
    <tableColumn name="train_subject" id="10"/>
    <tableColumn name="test_subject" id="11"/>
    <tableColumn name="filter_task" id="12"/>
    <tableColumn name="filter_modality" id="13"/>
    <tableColumn name="reuse_policy" id="14"/>
    <tableColumn name="search_space_id" id="1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Target="../tables/table33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32.xml" Type="http://schemas.openxmlformats.org/officeDocument/2006/relationships/table" Id="rId1"/></Relationships>
</file>

<file path=xl/worksheets/_rels/sheet5.xml.rels><?xml version="1.0" encoding="UTF-8" standalone="yes"?><Relationships xmlns="http://schemas.openxmlformats.org/package/2006/relationships"><Relationship Target="../tables/table31.xml" Type="http://schemas.openxmlformats.org/officeDocument/2006/relationships/table" Id="rId1"/></Relationships>
</file>

<file path=xl/worksheets/_rels/sheet6.xml.rels><?xml version="1.0" encoding="UTF-8" standalone="yes"?><Relationships xmlns="http://schemas.openxmlformats.org/package/2006/relationships"><Relationship Target="../tables/table30.xml" Type="http://schemas.openxmlformats.org/officeDocument/2006/relationships/table" Id="rId1"/></Relationships>
</file>

<file path=xl/worksheets/_rels/sheet7.xml.rels><?xml version="1.0" encoding="UTF-8" standalone="yes"?><Relationships xmlns="http://schemas.openxmlformats.org/package/2006/relationships"><Relationship Target="../tables/table29.xml" Type="http://schemas.openxmlformats.org/officeDocument/2006/relationships/table" Id="rId1"/></Relationships>
</file>

<file path=xl/worksheets/_rels/sheet8.xml.rels><?xml version="1.0" encoding="UTF-8" standalone="yes"?><Relationships xmlns="http://schemas.openxmlformats.org/package/2006/relationships"><Relationship Target="../tables/table28.xml" Type="http://schemas.openxmlformats.org/officeDocument/2006/relationships/table" Id="rId1"/></Relationships>
</file>

<file path=xl/worksheets/_rels/sheet9.xml.rels><?xml version="1.0" encoding="UTF-8" standalone="yes"?><Relationships xmlns="http://schemas.openxmlformats.org/package/2006/relationships"><Relationship Target="../tables/table27.xml" Type="http://schemas.openxmlformats.org/officeDocument/2006/relationships/table" Id="rId1"/></Relationships>
</file>

<file path=xl/worksheets/_rels/sheet10.xml.rels><?xml version="1.0" encoding="UTF-8" standalone="yes"?><Relationships xmlns="http://schemas.openxmlformats.org/package/2006/relationships"><Relationship Target="../tables/table26.xml" Type="http://schemas.openxmlformats.org/officeDocument/2006/relationships/table" Id="rId1"/></Relationships>
</file>

<file path=xl/worksheets/_rels/sheet11.xml.rels><?xml version="1.0" encoding="UTF-8" standalone="yes"?><Relationships xmlns="http://schemas.openxmlformats.org/package/2006/relationships"><Relationship Target="../tables/table25.xml" Type="http://schemas.openxmlformats.org/officeDocument/2006/relationships/table" Id="rId1"/></Relationships>
</file>

<file path=xl/worksheets/_rels/sheet12.xml.rels><?xml version="1.0" encoding="UTF-8" standalone="yes"?><Relationships xmlns="http://schemas.openxmlformats.org/package/2006/relationships"><Relationship Target="../tables/table24.xml" Type="http://schemas.openxmlformats.org/officeDocument/2006/relationships/table" Id="rId1"/></Relationships>
</file>

<file path=xl/worksheets/_rels/sheet13.xml.rels><?xml version="1.0" encoding="UTF-8" standalone="yes"?><Relationships xmlns="http://schemas.openxmlformats.org/package/2006/relationships"><Relationship Target="../tables/table23.xml" Type="http://schemas.openxmlformats.org/officeDocument/2006/relationships/table" Id="rId1"/></Relationships>
</file>

<file path=xl/worksheets/_rels/sheet14.xml.rels><?xml version="1.0" encoding="UTF-8" standalone="yes"?><Relationships xmlns="http://schemas.openxmlformats.org/package/2006/relationships"><Relationship Target="../tables/table22.xml" Type="http://schemas.openxmlformats.org/officeDocument/2006/relationships/table" Id="rId1"/></Relationships>
</file>

<file path=xl/worksheets/_rels/sheet15.xml.rels><?xml version="1.0" encoding="UTF-8" standalone="yes"?><Relationships xmlns="http://schemas.openxmlformats.org/package/2006/relationships"><Relationship Target="../tables/table21.xml" Type="http://schemas.openxmlformats.org/officeDocument/2006/relationships/table" Id="rId1"/></Relationships>
</file>

<file path=xl/worksheets/_rels/sheet16.xml.rels><?xml version="1.0" encoding="UTF-8" standalone="yes"?><Relationships xmlns="http://schemas.openxmlformats.org/package/2006/relationships"><Relationship Target="../tables/table20.xml" Type="http://schemas.openxmlformats.org/officeDocument/2006/relationships/table" Id="rId1"/></Relationships>
</file>

<file path=xl/worksheets/_rels/sheet17.xml.rels><?xml version="1.0" encoding="UTF-8" standalone="yes"?><Relationships xmlns="http://schemas.openxmlformats.org/package/2006/relationships"><Relationship Target="../tables/table19.xml" Type="http://schemas.openxmlformats.org/officeDocument/2006/relationships/table" Id="rId1"/></Relationships>
</file>

<file path=xl/worksheets/_rels/sheet18.xml.rels><?xml version="1.0" encoding="UTF-8" standalone="yes"?><Relationships xmlns="http://schemas.openxmlformats.org/package/2006/relationships"><Relationship Target="../tables/table18.xml" Type="http://schemas.openxmlformats.org/officeDocument/2006/relationships/table" Id="rId1"/></Relationships>
</file>

<file path=xl/worksheets/_rels/sheet19.xml.rels><?xml version="1.0" encoding="UTF-8" standalone="yes"?><Relationships xmlns="http://schemas.openxmlformats.org/package/2006/relationships"><Relationship Target="../tables/table17.xml" Type="http://schemas.openxmlformats.org/officeDocument/2006/relationships/table" Id="rId1"/></Relationships>
</file>

<file path=xl/worksheets/_rels/sheet20.xml.rels><?xml version="1.0" encoding="UTF-8" standalone="yes"?><Relationships xmlns="http://schemas.openxmlformats.org/package/2006/relationships"><Relationship Target="../tables/table16.xml" Type="http://schemas.openxmlformats.org/officeDocument/2006/relationships/table" Id="rId1"/></Relationships>
</file>

<file path=xl/worksheets/_rels/sheet21.xml.rels><?xml version="1.0" encoding="UTF-8" standalone="yes"?><Relationships xmlns="http://schemas.openxmlformats.org/package/2006/relationships"><Relationship Target="../tables/table15.xml" Type="http://schemas.openxmlformats.org/officeDocument/2006/relationships/table" Id="rId1"/></Relationships>
</file>

<file path=xl/worksheets/_rels/sheet22.xml.rels><?xml version="1.0" encoding="UTF-8" standalone="yes"?><Relationships xmlns="http://schemas.openxmlformats.org/package/2006/relationships"><Relationship Target="../tables/table14.xml" Type="http://schemas.openxmlformats.org/officeDocument/2006/relationships/table" Id="rId1"/></Relationships>
</file>

<file path=xl/worksheets/_rels/sheet23.xml.rels><?xml version="1.0" encoding="UTF-8" standalone="yes"?><Relationships xmlns="http://schemas.openxmlformats.org/package/2006/relationships"><Relationship Target="../tables/table8.xml" Type="http://schemas.openxmlformats.org/officeDocument/2006/relationships/table" Id="rId1"/><Relationship Target="../tables/table9.xml" Type="http://schemas.openxmlformats.org/officeDocument/2006/relationships/table" Id="rId2"/><Relationship Target="../tables/table10.xml" Type="http://schemas.openxmlformats.org/officeDocument/2006/relationships/table" Id="rId3"/><Relationship Target="../tables/table11.xml" Type="http://schemas.openxmlformats.org/officeDocument/2006/relationships/table" Id="rId4"/><Relationship Target="../tables/table12.xml" Type="http://schemas.openxmlformats.org/officeDocument/2006/relationships/table" Id="rId5"/><Relationship Target="../tables/table13.xml" Type="http://schemas.openxmlformats.org/officeDocument/2006/relationships/table" Id="rId6"/></Relationships>
</file>

<file path=xl/worksheets/_rels/sheet24.xml.rels><?xml version="1.0" encoding="UTF-8" standalone="yes"?><Relationships xmlns="http://schemas.openxmlformats.org/package/2006/relationships"><Relationship Target="../tables/table7.xml" Type="http://schemas.openxmlformats.org/officeDocument/2006/relationships/table" Id="rId1"/></Relationships>
</file>

<file path=xl/worksheets/_rels/sheet25.xml.rels><?xml version="1.0" encoding="UTF-8" standalone="yes"?><Relationships xmlns="http://schemas.openxmlformats.org/package/2006/relationships"><Relationship Target="../tables/table6.xml" Type="http://schemas.openxmlformats.org/officeDocument/2006/relationships/table" Id="rId1"/></Relationships>
</file>

<file path=xl/worksheets/_rels/sheet26.xml.rels><?xml version="1.0" encoding="UTF-8" standalone="yes"?><Relationships xmlns="http://schemas.openxmlformats.org/package/2006/relationships"><Relationship Target="../tables/table5.xml" Type="http://schemas.openxmlformats.org/officeDocument/2006/relationships/table" Id="rId1"/></Relationships>
</file>

<file path=xl/worksheets/_rels/sheet27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30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31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32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2"/>
  <sheetViews>
    <sheetView workbookViewId="0"/>
  </sheetViews>
  <sheetFormatPr defaultRowHeight="15" x14ac:dyDescent="0.25"/>
  <cols>
    <col min="1" max="1" style="21" width="22.005" customWidth="1" bestFit="1"/>
    <col min="2" max="2" style="21" width="95.005" customWidth="1" bestFit="1"/>
    <col min="3" max="3" style="14" width="24.005" customWidth="1" bestFit="1"/>
    <col min="4" max="4" style="14" width="24.005" customWidth="1" bestFit="1"/>
    <col min="5" max="5" style="14" width="24.005" customWidth="1" bestFit="1"/>
    <col min="6" max="6" style="14" width="24.005" customWidth="1" bestFit="1"/>
    <col min="7" max="7" style="14" width="24.005" customWidth="1" bestFit="1"/>
    <col min="8" max="8" style="14" width="24.005" customWidth="1" bestFit="1"/>
    <col min="9" max="9" style="14" width="24.005" customWidth="1" bestFit="1"/>
  </cols>
  <sheetData>
    <row x14ac:dyDescent="0.25" r="1" customHeight="1" ht="25.5" customFormat="1" s="1">
      <c r="A1" s="47" t="s">
        <v>1515</v>
      </c>
      <c r="B1" s="7"/>
      <c r="C1" s="7"/>
      <c r="D1" s="7"/>
      <c r="E1" s="7"/>
      <c r="F1" s="7"/>
      <c r="G1" s="7"/>
      <c r="H1" s="7"/>
      <c r="I1" s="7"/>
    </row>
    <row x14ac:dyDescent="0.25" r="2" customHeight="1" ht="18.75" customFormat="1" s="1">
      <c r="A2" s="8"/>
      <c r="B2" s="8"/>
      <c r="C2" s="7"/>
      <c r="D2" s="7"/>
      <c r="E2" s="7"/>
      <c r="F2" s="7"/>
      <c r="G2" s="7"/>
      <c r="H2" s="7"/>
      <c r="I2" s="7"/>
    </row>
    <row x14ac:dyDescent="0.25" r="3" customHeight="1" ht="19.5">
      <c r="A3" s="48" t="s">
        <v>839</v>
      </c>
      <c r="B3" s="49" t="s">
        <v>1516</v>
      </c>
      <c r="C3" s="26"/>
      <c r="D3" s="26"/>
      <c r="E3" s="26"/>
      <c r="F3" s="26"/>
      <c r="G3" s="26"/>
      <c r="H3" s="26"/>
      <c r="I3" s="27"/>
    </row>
    <row x14ac:dyDescent="0.25" r="4" customHeight="1" ht="20.25">
      <c r="A4" s="4"/>
      <c r="B4" s="50"/>
      <c r="C4" s="29"/>
      <c r="D4" s="29"/>
      <c r="E4" s="29"/>
      <c r="F4" s="29"/>
      <c r="G4" s="29"/>
      <c r="H4" s="29"/>
      <c r="I4" s="30"/>
    </row>
    <row x14ac:dyDescent="0.25" r="5" customHeight="1" ht="45.75" customFormat="1" s="1">
      <c r="A5" s="8" t="s">
        <v>1517</v>
      </c>
      <c r="B5" s="8" t="s">
        <v>1518</v>
      </c>
      <c r="C5" s="7"/>
      <c r="D5" s="7"/>
      <c r="E5" s="7"/>
      <c r="F5" s="7"/>
      <c r="G5" s="7"/>
      <c r="H5" s="7"/>
      <c r="I5" s="7"/>
    </row>
    <row x14ac:dyDescent="0.25" r="6" customHeight="1" ht="19.5">
      <c r="A6" s="48"/>
      <c r="B6" s="49"/>
      <c r="C6" s="26"/>
      <c r="D6" s="26"/>
      <c r="E6" s="26"/>
      <c r="F6" s="26"/>
      <c r="G6" s="26"/>
      <c r="H6" s="26"/>
      <c r="I6" s="27"/>
    </row>
    <row x14ac:dyDescent="0.25" r="7" customHeight="1" ht="33.75">
      <c r="A7" s="4" t="s">
        <v>1519</v>
      </c>
      <c r="B7" s="50"/>
      <c r="C7" s="29"/>
      <c r="D7" s="29"/>
      <c r="E7" s="29"/>
      <c r="F7" s="29"/>
      <c r="G7" s="29"/>
      <c r="H7" s="29"/>
      <c r="I7" s="30"/>
    </row>
    <row x14ac:dyDescent="0.25" r="8" customHeight="1" ht="18.75" customFormat="1" s="1">
      <c r="A8" s="8"/>
      <c r="B8" s="8"/>
      <c r="C8" s="7"/>
      <c r="D8" s="7"/>
      <c r="E8" s="7"/>
      <c r="F8" s="7"/>
      <c r="G8" s="7"/>
      <c r="H8" s="7"/>
      <c r="I8" s="7"/>
    </row>
    <row x14ac:dyDescent="0.25" r="9" customHeight="1" ht="33">
      <c r="A9" s="48" t="s">
        <v>1520</v>
      </c>
      <c r="B9" s="49" t="s">
        <v>1521</v>
      </c>
      <c r="C9" s="26"/>
      <c r="D9" s="26"/>
      <c r="E9" s="26"/>
      <c r="F9" s="26"/>
      <c r="G9" s="26"/>
      <c r="H9" s="26"/>
      <c r="I9" s="27"/>
    </row>
    <row x14ac:dyDescent="0.25" r="10" customHeight="1" ht="20.25">
      <c r="A10" s="4"/>
      <c r="B10" s="50"/>
      <c r="C10" s="29"/>
      <c r="D10" s="29"/>
      <c r="E10" s="29"/>
      <c r="F10" s="29"/>
      <c r="G10" s="29"/>
      <c r="H10" s="29"/>
      <c r="I10" s="30"/>
    </row>
    <row x14ac:dyDescent="0.25" r="11" customHeight="1" ht="45.75" customFormat="1" s="1">
      <c r="A11" s="8" t="s">
        <v>1522</v>
      </c>
      <c r="B11" s="8" t="s">
        <v>1523</v>
      </c>
      <c r="C11" s="7"/>
      <c r="D11" s="7"/>
      <c r="E11" s="7"/>
      <c r="F11" s="7"/>
      <c r="G11" s="7"/>
      <c r="H11" s="7"/>
      <c r="I11" s="7"/>
    </row>
    <row x14ac:dyDescent="0.25" r="12" customHeight="1" ht="19.5">
      <c r="A12" s="48"/>
      <c r="B12" s="49"/>
      <c r="C12" s="26"/>
      <c r="D12" s="26"/>
      <c r="E12" s="26"/>
      <c r="F12" s="26"/>
      <c r="G12" s="26"/>
      <c r="H12" s="26"/>
      <c r="I12" s="27"/>
    </row>
    <row x14ac:dyDescent="0.25" r="13" customHeight="1" ht="33.75">
      <c r="A13" s="4" t="s">
        <v>1524</v>
      </c>
      <c r="B13" s="50"/>
      <c r="C13" s="29"/>
      <c r="D13" s="29"/>
      <c r="E13" s="29"/>
      <c r="F13" s="29"/>
      <c r="G13" s="29"/>
      <c r="H13" s="29"/>
      <c r="I13" s="30"/>
    </row>
    <row x14ac:dyDescent="0.25" r="14" customHeight="1" ht="18.75" customFormat="1" s="1">
      <c r="A14" s="8"/>
      <c r="B14" s="8"/>
      <c r="C14" s="7"/>
      <c r="D14" s="7"/>
      <c r="E14" s="7"/>
      <c r="F14" s="7"/>
      <c r="G14" s="7"/>
      <c r="H14" s="7"/>
      <c r="I14" s="7"/>
    </row>
    <row x14ac:dyDescent="0.25" r="15" customHeight="1" ht="19.5">
      <c r="A15" s="48" t="s">
        <v>1525</v>
      </c>
      <c r="B15" s="49" t="s">
        <v>1526</v>
      </c>
      <c r="C15" s="26"/>
      <c r="D15" s="26"/>
      <c r="E15" s="26"/>
      <c r="F15" s="26"/>
      <c r="G15" s="26"/>
      <c r="H15" s="26"/>
      <c r="I15" s="27"/>
    </row>
    <row x14ac:dyDescent="0.25" r="16" customHeight="1" ht="17.08984375">
      <c r="A16" s="4"/>
      <c r="B16" s="50"/>
      <c r="C16" s="29"/>
      <c r="D16" s="29"/>
      <c r="E16" s="29"/>
      <c r="F16" s="29"/>
      <c r="G16" s="29"/>
      <c r="H16" s="29"/>
      <c r="I16" s="30"/>
    </row>
    <row x14ac:dyDescent="0.25" r="17" customHeight="1" ht="51.26953125" customFormat="1" s="1">
      <c r="A17" s="8" t="s">
        <v>1527</v>
      </c>
      <c r="B17" s="8" t="s">
        <v>1528</v>
      </c>
      <c r="C17" s="7"/>
      <c r="D17" s="7"/>
      <c r="E17" s="7"/>
      <c r="F17" s="7"/>
      <c r="G17" s="7"/>
      <c r="H17" s="7"/>
      <c r="I17" s="7"/>
    </row>
    <row x14ac:dyDescent="0.25" r="18" customHeight="1" ht="17.08984375">
      <c r="A18" s="48"/>
      <c r="B18" s="49"/>
      <c r="C18" s="26"/>
      <c r="D18" s="26"/>
      <c r="E18" s="26"/>
      <c r="F18" s="26"/>
      <c r="G18" s="26"/>
      <c r="H18" s="26"/>
      <c r="I18" s="27"/>
    </row>
    <row x14ac:dyDescent="0.25" r="19" customHeight="1" ht="68.359375">
      <c r="A19" s="4" t="s">
        <v>1529</v>
      </c>
      <c r="B19" s="50"/>
      <c r="C19" s="29"/>
      <c r="D19" s="29"/>
      <c r="E19" s="29"/>
      <c r="F19" s="29"/>
      <c r="G19" s="29"/>
      <c r="H19" s="29"/>
      <c r="I19" s="30"/>
    </row>
    <row x14ac:dyDescent="0.25" r="20" customHeight="1" ht="17.08984375" customFormat="1" s="1">
      <c r="A20" s="8"/>
      <c r="B20" s="8"/>
      <c r="C20" s="7"/>
      <c r="D20" s="7"/>
      <c r="E20" s="7"/>
      <c r="F20" s="7"/>
      <c r="G20" s="7"/>
      <c r="H20" s="7"/>
      <c r="I20" s="7"/>
    </row>
    <row x14ac:dyDescent="0.25" r="21" customHeight="1" ht="34.1796875">
      <c r="A21" s="48" t="s">
        <v>1530</v>
      </c>
      <c r="B21" s="49" t="s">
        <v>1531</v>
      </c>
      <c r="C21" s="26"/>
      <c r="D21" s="26"/>
      <c r="E21" s="26"/>
      <c r="F21" s="26"/>
      <c r="G21" s="26"/>
      <c r="H21" s="26"/>
      <c r="I21" s="27"/>
    </row>
    <row x14ac:dyDescent="0.25" r="22" customHeight="1" ht="17.08984375">
      <c r="A22" s="4"/>
      <c r="B22" s="50"/>
      <c r="C22" s="29"/>
      <c r="D22" s="29"/>
      <c r="E22" s="29"/>
      <c r="F22" s="29"/>
      <c r="G22" s="29"/>
      <c r="H22" s="29"/>
      <c r="I22" s="30"/>
    </row>
    <row x14ac:dyDescent="0.25" r="23" customHeight="1" ht="17.08984375" customFormat="1" s="1">
      <c r="A23" s="8"/>
      <c r="B23" s="8"/>
      <c r="C23" s="7"/>
      <c r="D23" s="7"/>
      <c r="E23" s="7"/>
      <c r="F23" s="7"/>
      <c r="G23" s="7"/>
      <c r="H23" s="7"/>
      <c r="I23" s="7"/>
    </row>
    <row x14ac:dyDescent="0.25" r="24" customHeight="1" ht="51.26953125">
      <c r="A24" s="48" t="s">
        <v>1532</v>
      </c>
      <c r="B24" s="49" t="s">
        <v>1533</v>
      </c>
      <c r="C24" s="26"/>
      <c r="D24" s="26"/>
      <c r="E24" s="26"/>
      <c r="F24" s="26"/>
      <c r="G24" s="26"/>
      <c r="H24" s="26"/>
      <c r="I24" s="27"/>
    </row>
    <row x14ac:dyDescent="0.25" r="25" customHeight="1" ht="17.08984375">
      <c r="A25" s="4"/>
      <c r="B25" s="50"/>
      <c r="C25" s="29"/>
      <c r="D25" s="29"/>
      <c r="E25" s="29"/>
      <c r="F25" s="29"/>
      <c r="G25" s="29"/>
      <c r="H25" s="29"/>
      <c r="I25" s="30"/>
    </row>
    <row x14ac:dyDescent="0.25" r="26" customHeight="1" ht="17.08984375" customFormat="1" s="1">
      <c r="A26" s="8"/>
      <c r="B26" s="8"/>
      <c r="C26" s="7"/>
      <c r="D26" s="7"/>
      <c r="E26" s="7"/>
      <c r="F26" s="7"/>
      <c r="G26" s="7"/>
      <c r="H26" s="7"/>
      <c r="I26" s="7"/>
    </row>
    <row x14ac:dyDescent="0.25" r="27" customHeight="1" ht="34.1796875">
      <c r="A27" s="48" t="s">
        <v>1534</v>
      </c>
      <c r="B27" s="49" t="s">
        <v>1535</v>
      </c>
      <c r="C27" s="26"/>
      <c r="D27" s="26"/>
      <c r="E27" s="26"/>
      <c r="F27" s="26"/>
      <c r="G27" s="26"/>
      <c r="H27" s="26"/>
      <c r="I27" s="27"/>
    </row>
    <row x14ac:dyDescent="0.25" r="28" customHeight="1" ht="17.08984375">
      <c r="A28" s="4"/>
      <c r="B28" s="50"/>
      <c r="C28" s="29"/>
      <c r="D28" s="29"/>
      <c r="E28" s="29"/>
      <c r="F28" s="29"/>
      <c r="G28" s="29"/>
      <c r="H28" s="29"/>
      <c r="I28" s="30"/>
    </row>
    <row x14ac:dyDescent="0.25" r="29" customHeight="1" ht="17.08984375" customFormat="1" s="1">
      <c r="A29" s="8"/>
      <c r="B29" s="8"/>
      <c r="C29" s="7"/>
      <c r="D29" s="7"/>
      <c r="E29" s="7"/>
      <c r="F29" s="7"/>
      <c r="G29" s="7"/>
      <c r="H29" s="7"/>
      <c r="I29" s="7"/>
    </row>
    <row x14ac:dyDescent="0.25" r="30" customHeight="1" ht="34.1796875">
      <c r="A30" s="48" t="s">
        <v>1536</v>
      </c>
      <c r="B30" s="49" t="s">
        <v>1537</v>
      </c>
      <c r="C30" s="26"/>
      <c r="D30" s="26"/>
      <c r="E30" s="26"/>
      <c r="F30" s="26"/>
      <c r="G30" s="26"/>
      <c r="H30" s="26"/>
      <c r="I30" s="27"/>
    </row>
    <row x14ac:dyDescent="0.25" r="31" customHeight="1" ht="17.08984375">
      <c r="A31" s="4"/>
      <c r="B31" s="50"/>
      <c r="C31" s="29"/>
      <c r="D31" s="29"/>
      <c r="E31" s="29"/>
      <c r="F31" s="29"/>
      <c r="G31" s="29"/>
      <c r="H31" s="29"/>
      <c r="I31" s="30"/>
    </row>
    <row x14ac:dyDescent="0.25" r="32" customHeight="1" ht="17.08984375" customFormat="1" s="1">
      <c r="A32" s="8"/>
      <c r="B32" s="8"/>
      <c r="C32" s="7"/>
      <c r="D32" s="7"/>
      <c r="E32" s="7"/>
      <c r="F32" s="7"/>
      <c r="G32" s="7"/>
      <c r="H32" s="7"/>
      <c r="I32" s="7"/>
    </row>
    <row x14ac:dyDescent="0.25" r="33" customHeight="1" ht="51.26953125">
      <c r="A33" s="48" t="s">
        <v>1538</v>
      </c>
      <c r="B33" s="49" t="s">
        <v>1539</v>
      </c>
      <c r="C33" s="26"/>
      <c r="D33" s="26"/>
      <c r="E33" s="26"/>
      <c r="F33" s="26"/>
      <c r="G33" s="26"/>
      <c r="H33" s="26"/>
      <c r="I33" s="27"/>
    </row>
    <row x14ac:dyDescent="0.25" r="34" customHeight="1" ht="17.08984375">
      <c r="A34" s="4"/>
      <c r="B34" s="50"/>
      <c r="C34" s="29"/>
      <c r="D34" s="29"/>
      <c r="E34" s="29"/>
      <c r="F34" s="29"/>
      <c r="G34" s="29"/>
      <c r="H34" s="29"/>
      <c r="I34" s="30"/>
    </row>
    <row x14ac:dyDescent="0.25" r="35" customHeight="1" ht="17.08984375" customFormat="1" s="1">
      <c r="A35" s="8"/>
      <c r="B35" s="8"/>
      <c r="C35" s="7"/>
      <c r="D35" s="7"/>
      <c r="E35" s="7"/>
      <c r="F35" s="7"/>
      <c r="G35" s="7"/>
      <c r="H35" s="7"/>
      <c r="I35" s="7"/>
    </row>
    <row x14ac:dyDescent="0.25" r="36" customHeight="1" ht="51.26953125">
      <c r="A36" s="48" t="s">
        <v>1529</v>
      </c>
      <c r="B36" s="49" t="s">
        <v>1540</v>
      </c>
      <c r="C36" s="26"/>
      <c r="D36" s="26"/>
      <c r="E36" s="26"/>
      <c r="F36" s="26"/>
      <c r="G36" s="26"/>
      <c r="H36" s="26"/>
      <c r="I36" s="27"/>
    </row>
    <row x14ac:dyDescent="0.25" r="37" customHeight="1" ht="17.08984375">
      <c r="A37" s="4"/>
      <c r="B37" s="50"/>
      <c r="C37" s="29"/>
      <c r="D37" s="29"/>
      <c r="E37" s="29"/>
      <c r="F37" s="29"/>
      <c r="G37" s="29"/>
      <c r="H37" s="29"/>
      <c r="I37" s="30"/>
    </row>
    <row x14ac:dyDescent="0.25" r="38" customHeight="1" ht="17.08984375" customFormat="1" s="1">
      <c r="A38" s="8"/>
      <c r="B38" s="8"/>
      <c r="C38" s="7"/>
      <c r="D38" s="7"/>
      <c r="E38" s="7"/>
      <c r="F38" s="7"/>
      <c r="G38" s="7"/>
      <c r="H38" s="7"/>
      <c r="I38" s="7"/>
    </row>
    <row x14ac:dyDescent="0.25" r="39" customHeight="1" ht="170.8984375">
      <c r="A39" s="51" t="s">
        <v>1541</v>
      </c>
      <c r="B39" s="26"/>
      <c r="C39" s="26"/>
      <c r="D39" s="26"/>
      <c r="E39" s="26"/>
      <c r="F39" s="26"/>
      <c r="G39" s="26"/>
      <c r="H39" s="26"/>
      <c r="I39" s="27"/>
    </row>
    <row x14ac:dyDescent="0.25" r="40" customHeight="1" ht="17.08984375">
      <c r="A40" s="50"/>
      <c r="B40" s="29"/>
      <c r="C40" s="29"/>
      <c r="D40" s="29"/>
      <c r="E40" s="29"/>
      <c r="F40" s="29"/>
      <c r="G40" s="29"/>
      <c r="H40" s="29"/>
      <c r="I40" s="30"/>
    </row>
    <row x14ac:dyDescent="0.25" r="41" customHeight="1" ht="34.1796875" customFormat="1" s="1">
      <c r="A41" s="8" t="s">
        <v>1542</v>
      </c>
      <c r="B41" s="8" t="s">
        <v>1543</v>
      </c>
      <c r="C41" s="7"/>
      <c r="D41" s="7"/>
      <c r="E41" s="7"/>
      <c r="F41" s="7"/>
      <c r="G41" s="7"/>
      <c r="H41" s="7"/>
      <c r="I41" s="7"/>
    </row>
    <row x14ac:dyDescent="0.25" r="42" customHeight="1" ht="34.1796875" customFormat="1" s="1">
      <c r="A42" s="8" t="s">
        <v>1544</v>
      </c>
      <c r="B42" s="8" t="s">
        <v>1545</v>
      </c>
      <c r="C42" s="7"/>
      <c r="D42" s="7"/>
      <c r="E42" s="7"/>
      <c r="F42" s="7"/>
      <c r="G42" s="7"/>
      <c r="H42" s="7"/>
      <c r="I42" s="7"/>
    </row>
    <row x14ac:dyDescent="0.25" r="43" customHeight="1" ht="34.1796875" customFormat="1" s="1">
      <c r="A43" s="8" t="s">
        <v>1546</v>
      </c>
      <c r="B43" s="8" t="s">
        <v>1547</v>
      </c>
      <c r="C43" s="7"/>
      <c r="D43" s="7"/>
      <c r="E43" s="7"/>
      <c r="F43" s="7"/>
      <c r="G43" s="7"/>
      <c r="H43" s="7"/>
      <c r="I43" s="7"/>
    </row>
    <row x14ac:dyDescent="0.25" r="44" customHeight="1" ht="34.1796875" customFormat="1" s="1">
      <c r="A44" s="8" t="s">
        <v>1548</v>
      </c>
      <c r="B44" s="8" t="s">
        <v>1035</v>
      </c>
      <c r="C44" s="7"/>
      <c r="D44" s="7"/>
      <c r="E44" s="7"/>
      <c r="F44" s="7"/>
      <c r="G44" s="7"/>
      <c r="H44" s="7"/>
      <c r="I44" s="7"/>
    </row>
    <row x14ac:dyDescent="0.25" r="45" customHeight="1" ht="34.1796875" customFormat="1" s="1">
      <c r="A45" s="8" t="s">
        <v>1549</v>
      </c>
      <c r="B45" s="8" t="s">
        <v>1550</v>
      </c>
      <c r="C45" s="7"/>
      <c r="D45" s="7"/>
      <c r="E45" s="7"/>
      <c r="F45" s="7"/>
      <c r="G45" s="7"/>
      <c r="H45" s="7"/>
      <c r="I45" s="7"/>
    </row>
    <row x14ac:dyDescent="0.25" r="46" customHeight="1" ht="34.1796875" customFormat="1" s="1">
      <c r="A46" s="8" t="s">
        <v>1551</v>
      </c>
      <c r="B46" s="8" t="s">
        <v>1552</v>
      </c>
      <c r="C46" s="7"/>
      <c r="D46" s="7"/>
      <c r="E46" s="7"/>
      <c r="F46" s="7"/>
      <c r="G46" s="7"/>
      <c r="H46" s="7"/>
      <c r="I46" s="7"/>
    </row>
    <row x14ac:dyDescent="0.25" r="47" customHeight="1" ht="34.1796875" customFormat="1" s="1">
      <c r="A47" s="8" t="s">
        <v>1553</v>
      </c>
      <c r="B47" s="8" t="s">
        <v>1554</v>
      </c>
      <c r="C47" s="7"/>
      <c r="D47" s="7"/>
      <c r="E47" s="7"/>
      <c r="F47" s="7"/>
      <c r="G47" s="7"/>
      <c r="H47" s="7"/>
      <c r="I47" s="7"/>
    </row>
    <row x14ac:dyDescent="0.25" r="48" customHeight="1" ht="34.1796875" customFormat="1" s="1">
      <c r="A48" s="8" t="s">
        <v>1548</v>
      </c>
      <c r="B48" s="8" t="s">
        <v>1035</v>
      </c>
      <c r="C48" s="7"/>
      <c r="D48" s="7"/>
      <c r="E48" s="7"/>
      <c r="F48" s="7"/>
      <c r="G48" s="7"/>
      <c r="H48" s="7"/>
      <c r="I48" s="7"/>
    </row>
    <row x14ac:dyDescent="0.25" r="49" customHeight="1" ht="34.1796875" customFormat="1" s="1">
      <c r="A49" s="8" t="s">
        <v>1549</v>
      </c>
      <c r="B49" s="8" t="s">
        <v>1550</v>
      </c>
      <c r="C49" s="7"/>
      <c r="D49" s="7"/>
      <c r="E49" s="7"/>
      <c r="F49" s="7"/>
      <c r="G49" s="7"/>
      <c r="H49" s="7"/>
      <c r="I49" s="7"/>
    </row>
    <row x14ac:dyDescent="0.25" r="50" customHeight="1" ht="34.1796875" customFormat="1" s="1">
      <c r="A50" s="8" t="s">
        <v>1551</v>
      </c>
      <c r="B50" s="8" t="s">
        <v>1552</v>
      </c>
      <c r="C50" s="7"/>
      <c r="D50" s="7"/>
      <c r="E50" s="7"/>
      <c r="F50" s="7"/>
      <c r="G50" s="7"/>
      <c r="H50" s="7"/>
      <c r="I50" s="7"/>
    </row>
    <row x14ac:dyDescent="0.25" r="51" customHeight="1" ht="34.1796875" customFormat="1" s="1">
      <c r="A51" s="8" t="s">
        <v>1553</v>
      </c>
      <c r="B51" s="8" t="s">
        <v>1554</v>
      </c>
      <c r="C51" s="7"/>
      <c r="D51" s="7"/>
      <c r="E51" s="7"/>
      <c r="F51" s="7"/>
      <c r="G51" s="7"/>
      <c r="H51" s="7"/>
      <c r="I51" s="7"/>
    </row>
    <row x14ac:dyDescent="0.25" r="52" customHeight="1" ht="68.359375" customFormat="1" s="1">
      <c r="A52" s="52" t="s">
        <v>1555</v>
      </c>
      <c r="B52" s="8"/>
      <c r="C52" s="7"/>
      <c r="D52" s="7"/>
      <c r="E52" s="7"/>
      <c r="F52" s="7"/>
      <c r="G52" s="7"/>
      <c r="H52" s="7"/>
      <c r="I52" s="7"/>
    </row>
  </sheetData>
  <mergeCells count="14">
    <mergeCell ref="A1:I1"/>
    <mergeCell ref="B3:I4"/>
    <mergeCell ref="B6:I7"/>
    <mergeCell ref="B9:I10"/>
    <mergeCell ref="B12:I13"/>
    <mergeCell ref="B15:I16"/>
    <mergeCell ref="B18:I19"/>
    <mergeCell ref="B21:I22"/>
    <mergeCell ref="B24:I25"/>
    <mergeCell ref="B27:I28"/>
    <mergeCell ref="B30:I31"/>
    <mergeCell ref="B33:I34"/>
    <mergeCell ref="B36:I37"/>
    <mergeCell ref="A39:I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25"/>
  <sheetViews>
    <sheetView workbookViewId="0"/>
  </sheetViews>
  <sheetFormatPr defaultRowHeight="15" x14ac:dyDescent="0.25"/>
  <cols>
    <col min="1" max="1" style="5" width="10.005" customWidth="1" bestFit="1"/>
    <col min="2" max="2" style="5" width="24.005" customWidth="1" bestFit="1"/>
    <col min="3" max="3" style="5" width="20.005" customWidth="1" bestFit="1"/>
    <col min="4" max="4" style="5" width="20.005" customWidth="1" bestFit="1"/>
    <col min="5" max="5" style="5" width="20.005" customWidth="1" bestFit="1"/>
    <col min="6" max="6" style="5" width="20.005" customWidth="1" bestFit="1"/>
    <col min="7" max="7" style="5" width="28.005" customWidth="1" bestFit="1"/>
    <col min="8" max="8" style="5" width="28.005" customWidth="1" bestFit="1"/>
    <col min="9" max="9" style="5" width="26.005" customWidth="1" bestFit="1"/>
    <col min="10" max="10" style="5" width="18.005" customWidth="1" bestFit="1"/>
    <col min="11" max="11" style="5" width="26.005" customWidth="1" bestFit="1"/>
    <col min="12" max="12" style="5" width="32.005" customWidth="1" bestFit="1"/>
    <col min="13" max="13" style="5" width="20.005" customWidth="1" bestFit="1"/>
    <col min="14" max="14" style="5" width="28.005" customWidth="1" bestFit="1"/>
    <col min="15" max="15" style="5" width="28.005" customWidth="1" bestFit="1"/>
    <col min="16" max="16" style="5" width="28.005" customWidth="1" bestFit="1"/>
    <col min="17" max="17" style="5" width="24.005" customWidth="1" bestFit="1"/>
    <col min="18" max="18" style="5" width="16.005" customWidth="1" bestFit="1"/>
    <col min="19" max="19" style="5" width="22.005" customWidth="1" bestFit="1"/>
    <col min="20" max="20" style="5" width="24.005" customWidth="1" bestFit="1"/>
    <col min="21" max="21" style="5" width="28.005" customWidth="1" bestFit="1"/>
    <col min="22" max="22" style="5" width="24.005" customWidth="1" bestFit="1"/>
    <col min="23" max="23" style="5" width="24.005" customWidth="1" bestFit="1"/>
    <col min="24" max="24" style="5" width="26.005" customWidth="1" bestFit="1"/>
    <col min="25" max="25" style="5" width="22.005" customWidth="1" bestFit="1"/>
    <col min="26" max="26" style="5" width="28.005" customWidth="1" bestFit="1"/>
    <col min="27" max="27" style="5" width="14.005" customWidth="1" bestFit="1"/>
    <col min="28" max="28" style="5" width="18.005" customWidth="1" bestFit="1"/>
    <col min="29" max="29" style="5" width="20.005" customWidth="1" bestFit="1"/>
    <col min="30" max="30" style="5" width="20.005" customWidth="1" bestFit="1"/>
    <col min="31" max="31" style="5" width="20.005" customWidth="1" bestFit="1"/>
    <col min="32" max="32" style="5" width="20.005" customWidth="1" bestFit="1"/>
  </cols>
  <sheetData>
    <row x14ac:dyDescent="0.25" r="1" customHeight="1" ht="34.1796875" customFormat="1" s="1">
      <c r="A1" s="2" t="s">
        <v>423</v>
      </c>
      <c r="B1" s="2" t="s">
        <v>526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1303</v>
      </c>
      <c r="H1" s="2" t="s">
        <v>1304</v>
      </c>
      <c r="I1" s="2" t="s">
        <v>1305</v>
      </c>
      <c r="J1" s="2" t="s">
        <v>1306</v>
      </c>
      <c r="K1" s="2" t="s">
        <v>1307</v>
      </c>
      <c r="L1" s="2" t="s">
        <v>1308</v>
      </c>
      <c r="M1" s="2" t="s">
        <v>1309</v>
      </c>
      <c r="N1" s="2" t="s">
        <v>1310</v>
      </c>
      <c r="O1" s="2" t="s">
        <v>845</v>
      </c>
      <c r="P1" s="2" t="s">
        <v>1311</v>
      </c>
      <c r="Q1" s="2" t="s">
        <v>1312</v>
      </c>
      <c r="R1" s="2" t="s">
        <v>1313</v>
      </c>
      <c r="S1" s="2" t="s">
        <v>1314</v>
      </c>
      <c r="T1" s="2" t="s">
        <v>1315</v>
      </c>
      <c r="U1" s="2" t="s">
        <v>1316</v>
      </c>
      <c r="V1" s="2" t="s">
        <v>1317</v>
      </c>
      <c r="W1" s="2" t="s">
        <v>1318</v>
      </c>
      <c r="X1" s="2" t="s">
        <v>1319</v>
      </c>
      <c r="Y1" s="2" t="s">
        <v>170</v>
      </c>
      <c r="Z1" s="2" t="s">
        <v>745</v>
      </c>
      <c r="AA1" s="2" t="s">
        <v>6</v>
      </c>
      <c r="AB1" s="2" t="s">
        <v>1320</v>
      </c>
      <c r="AC1" s="2" t="s">
        <v>1321</v>
      </c>
      <c r="AD1" s="2" t="s">
        <v>1322</v>
      </c>
      <c r="AE1" s="2" t="s">
        <v>7</v>
      </c>
      <c r="AF1" s="2" t="s">
        <v>1323</v>
      </c>
    </row>
    <row x14ac:dyDescent="0.25" r="2" customHeight="1" ht="119.62890625" customFormat="1" s="1">
      <c r="A2" s="3" t="s">
        <v>431</v>
      </c>
      <c r="B2" s="3" t="s">
        <v>1324</v>
      </c>
      <c r="C2" s="3" t="s">
        <v>219</v>
      </c>
      <c r="D2" s="3" t="s">
        <v>300</v>
      </c>
      <c r="E2" s="3" t="s">
        <v>221</v>
      </c>
      <c r="F2" s="3" t="s">
        <v>258</v>
      </c>
      <c r="G2" s="3" t="s">
        <v>1325</v>
      </c>
      <c r="H2" s="3" t="s">
        <v>1326</v>
      </c>
      <c r="I2" s="3" t="s">
        <v>1327</v>
      </c>
      <c r="J2" s="3" t="s">
        <v>1328</v>
      </c>
      <c r="K2" s="3" t="s">
        <v>1329</v>
      </c>
      <c r="L2" s="3" t="s">
        <v>1330</v>
      </c>
      <c r="M2" s="3" t="s">
        <v>1331</v>
      </c>
      <c r="N2" s="3" t="s">
        <v>1332</v>
      </c>
      <c r="O2" s="3" t="s">
        <v>1333</v>
      </c>
      <c r="P2" s="3" t="s">
        <v>1334</v>
      </c>
      <c r="Q2" s="3" t="s">
        <v>1335</v>
      </c>
      <c r="R2" s="3" t="s">
        <v>1336</v>
      </c>
      <c r="S2" s="3" t="s">
        <v>1337</v>
      </c>
      <c r="T2" s="3" t="s">
        <v>1338</v>
      </c>
      <c r="U2" s="3" t="s">
        <v>1339</v>
      </c>
      <c r="V2" s="3" t="s">
        <v>1340</v>
      </c>
      <c r="W2" s="3" t="s">
        <v>1341</v>
      </c>
      <c r="X2" s="3" t="s">
        <v>1342</v>
      </c>
      <c r="Y2" s="3" t="s">
        <v>224</v>
      </c>
      <c r="Z2" s="3" t="s">
        <v>1343</v>
      </c>
      <c r="AA2" s="3" t="s">
        <v>223</v>
      </c>
      <c r="AB2" s="3" t="s">
        <v>1344</v>
      </c>
      <c r="AC2" s="3"/>
      <c r="AD2" s="3"/>
      <c r="AE2" s="3"/>
      <c r="AF2" s="10">
        <f>IF($AA2="Dropped","N/A",IF(AND($H2&lt;&gt;"",$J2&lt;&gt;"",$K2&lt;&gt;"",$M2&lt;&gt;"",$N2&lt;&gt;"",$P2&lt;&gt;"",$R2&lt;&gt;"",$U2&lt;&gt;"",$V2&lt;&gt;"",$W2&lt;&gt;"",$Z2&lt;&gt;"",$Y2&lt;&gt;""),"READY","INCOMPLETE"))</f>
      </c>
    </row>
    <row x14ac:dyDescent="0.25" r="3" customHeight="1" ht="85.44921875" customFormat="1" s="1">
      <c r="A3" s="4" t="s">
        <v>438</v>
      </c>
      <c r="B3" s="4" t="s">
        <v>1345</v>
      </c>
      <c r="C3" s="4" t="s">
        <v>219</v>
      </c>
      <c r="D3" s="4" t="s">
        <v>300</v>
      </c>
      <c r="E3" s="4" t="s">
        <v>221</v>
      </c>
      <c r="F3" s="4" t="s">
        <v>302</v>
      </c>
      <c r="G3" s="4" t="s">
        <v>441</v>
      </c>
      <c r="H3" s="4" t="s">
        <v>1346</v>
      </c>
      <c r="I3" s="4" t="s">
        <v>1347</v>
      </c>
      <c r="J3" s="4" t="s">
        <v>1348</v>
      </c>
      <c r="K3" s="4" t="s">
        <v>1329</v>
      </c>
      <c r="L3" s="4" t="s">
        <v>1330</v>
      </c>
      <c r="M3" s="4" t="s">
        <v>1349</v>
      </c>
      <c r="N3" s="4" t="s">
        <v>1350</v>
      </c>
      <c r="O3" s="4" t="s">
        <v>1333</v>
      </c>
      <c r="P3" s="4" t="s">
        <v>1351</v>
      </c>
      <c r="Q3" s="4" t="s">
        <v>1335</v>
      </c>
      <c r="R3" s="4" t="s">
        <v>1336</v>
      </c>
      <c r="S3" s="4" t="s">
        <v>1337</v>
      </c>
      <c r="T3" s="4" t="s">
        <v>1338</v>
      </c>
      <c r="U3" s="4" t="s">
        <v>1352</v>
      </c>
      <c r="V3" s="4" t="s">
        <v>1340</v>
      </c>
      <c r="W3" s="4" t="s">
        <v>1341</v>
      </c>
      <c r="X3" s="4" t="s">
        <v>1342</v>
      </c>
      <c r="Y3" s="4" t="s">
        <v>224</v>
      </c>
      <c r="Z3" s="4" t="s">
        <v>1343</v>
      </c>
      <c r="AA3" s="4" t="s">
        <v>223</v>
      </c>
      <c r="AB3" s="4" t="s">
        <v>1344</v>
      </c>
      <c r="AC3" s="4"/>
      <c r="AD3" s="4"/>
      <c r="AE3" s="4"/>
      <c r="AF3" s="11">
        <f>IF($AA3="Dropped","N/A",IF(AND($H3&lt;&gt;"",$J3&lt;&gt;"",$K3&lt;&gt;"",$M3&lt;&gt;"",$N3&lt;&gt;"",$P3&lt;&gt;"",$R3&lt;&gt;"",$U3&lt;&gt;"",$V3&lt;&gt;"",$W3&lt;&gt;"",$Z3&lt;&gt;"",$Y3&lt;&gt;""),"READY","INCOMPLETE"))</f>
      </c>
    </row>
    <row x14ac:dyDescent="0.25" r="4" customHeight="1" ht="85.44921875" customFormat="1" s="1">
      <c r="A4" s="3" t="s">
        <v>442</v>
      </c>
      <c r="B4" s="3" t="s">
        <v>1353</v>
      </c>
      <c r="C4" s="3" t="s">
        <v>219</v>
      </c>
      <c r="D4" s="3" t="s">
        <v>300</v>
      </c>
      <c r="E4" s="3" t="s">
        <v>221</v>
      </c>
      <c r="F4" s="3" t="s">
        <v>302</v>
      </c>
      <c r="G4" s="3" t="s">
        <v>445</v>
      </c>
      <c r="H4" s="3" t="s">
        <v>1354</v>
      </c>
      <c r="I4" s="3" t="s">
        <v>1347</v>
      </c>
      <c r="J4" s="3" t="s">
        <v>1355</v>
      </c>
      <c r="K4" s="3" t="s">
        <v>1329</v>
      </c>
      <c r="L4" s="3" t="s">
        <v>1330</v>
      </c>
      <c r="M4" s="3" t="s">
        <v>1349</v>
      </c>
      <c r="N4" s="3" t="s">
        <v>1350</v>
      </c>
      <c r="O4" s="3" t="s">
        <v>1333</v>
      </c>
      <c r="P4" s="3" t="s">
        <v>1351</v>
      </c>
      <c r="Q4" s="3" t="s">
        <v>1335</v>
      </c>
      <c r="R4" s="3" t="s">
        <v>1336</v>
      </c>
      <c r="S4" s="3" t="s">
        <v>1337</v>
      </c>
      <c r="T4" s="3" t="s">
        <v>1338</v>
      </c>
      <c r="U4" s="3" t="s">
        <v>1352</v>
      </c>
      <c r="V4" s="3" t="s">
        <v>1340</v>
      </c>
      <c r="W4" s="3" t="s">
        <v>1341</v>
      </c>
      <c r="X4" s="3" t="s">
        <v>1342</v>
      </c>
      <c r="Y4" s="3" t="s">
        <v>224</v>
      </c>
      <c r="Z4" s="3" t="s">
        <v>1343</v>
      </c>
      <c r="AA4" s="3" t="s">
        <v>223</v>
      </c>
      <c r="AB4" s="3" t="s">
        <v>1344</v>
      </c>
      <c r="AC4" s="3"/>
      <c r="AD4" s="3"/>
      <c r="AE4" s="3"/>
      <c r="AF4" s="10">
        <f>IF($AA4="Dropped","N/A",IF(AND($H4&lt;&gt;"",$J4&lt;&gt;"",$K4&lt;&gt;"",$M4&lt;&gt;"",$N4&lt;&gt;"",$P4&lt;&gt;"",$R4&lt;&gt;"",$U4&lt;&gt;"",$V4&lt;&gt;"",$W4&lt;&gt;"",$Z4&lt;&gt;"",$Y4&lt;&gt;""),"READY","INCOMPLETE"))</f>
      </c>
    </row>
    <row x14ac:dyDescent="0.25" r="5" customHeight="1" ht="102.5390625" customFormat="1" s="1">
      <c r="A5" s="4" t="s">
        <v>446</v>
      </c>
      <c r="B5" s="4" t="s">
        <v>1356</v>
      </c>
      <c r="C5" s="4" t="s">
        <v>255</v>
      </c>
      <c r="D5" s="4" t="s">
        <v>300</v>
      </c>
      <c r="E5" s="4" t="s">
        <v>257</v>
      </c>
      <c r="F5" s="4" t="s">
        <v>258</v>
      </c>
      <c r="G5" s="4" t="s">
        <v>1357</v>
      </c>
      <c r="H5" s="4" t="s">
        <v>1358</v>
      </c>
      <c r="I5" s="4" t="s">
        <v>1347</v>
      </c>
      <c r="J5" s="4" t="s">
        <v>1359</v>
      </c>
      <c r="K5" s="4" t="s">
        <v>1329</v>
      </c>
      <c r="L5" s="4" t="s">
        <v>1330</v>
      </c>
      <c r="M5" s="4" t="s">
        <v>1349</v>
      </c>
      <c r="N5" s="4" t="s">
        <v>1360</v>
      </c>
      <c r="O5" s="4" t="s">
        <v>1361</v>
      </c>
      <c r="P5" s="4" t="s">
        <v>1351</v>
      </c>
      <c r="Q5" s="4" t="s">
        <v>1335</v>
      </c>
      <c r="R5" s="4" t="s">
        <v>1336</v>
      </c>
      <c r="S5" s="4" t="s">
        <v>1337</v>
      </c>
      <c r="T5" s="4" t="s">
        <v>1338</v>
      </c>
      <c r="U5" s="4" t="s">
        <v>1362</v>
      </c>
      <c r="V5" s="4" t="s">
        <v>1340</v>
      </c>
      <c r="W5" s="4" t="s">
        <v>1341</v>
      </c>
      <c r="X5" s="4" t="s">
        <v>1342</v>
      </c>
      <c r="Y5" s="4" t="s">
        <v>224</v>
      </c>
      <c r="Z5" s="4" t="s">
        <v>1343</v>
      </c>
      <c r="AA5" s="4" t="s">
        <v>223</v>
      </c>
      <c r="AB5" s="4" t="s">
        <v>1344</v>
      </c>
      <c r="AC5" s="4"/>
      <c r="AD5" s="4"/>
      <c r="AE5" s="4"/>
      <c r="AF5" s="11">
        <f>IF($AA5="Dropped","N/A",IF(AND($H5&lt;&gt;"",$J5&lt;&gt;"",$K5&lt;&gt;"",$M5&lt;&gt;"",$N5&lt;&gt;"",$P5&lt;&gt;"",$R5&lt;&gt;"",$U5&lt;&gt;"",$V5&lt;&gt;"",$W5&lt;&gt;"",$Z5&lt;&gt;"",$Y5&lt;&gt;""),"READY","INCOMPLETE"))</f>
      </c>
    </row>
    <row x14ac:dyDescent="0.25" r="6" customHeight="1" ht="85.44921875" customFormat="1" s="1">
      <c r="A6" s="3" t="s">
        <v>450</v>
      </c>
      <c r="B6" s="3" t="s">
        <v>1363</v>
      </c>
      <c r="C6" s="3" t="s">
        <v>255</v>
      </c>
      <c r="D6" s="3" t="s">
        <v>300</v>
      </c>
      <c r="E6" s="3" t="s">
        <v>257</v>
      </c>
      <c r="F6" s="3" t="s">
        <v>258</v>
      </c>
      <c r="G6" s="3" t="s">
        <v>1364</v>
      </c>
      <c r="H6" s="3" t="s">
        <v>1365</v>
      </c>
      <c r="I6" s="3" t="s">
        <v>1347</v>
      </c>
      <c r="J6" s="3" t="s">
        <v>1366</v>
      </c>
      <c r="K6" s="3" t="s">
        <v>1329</v>
      </c>
      <c r="L6" s="3" t="s">
        <v>1330</v>
      </c>
      <c r="M6" s="3" t="s">
        <v>1349</v>
      </c>
      <c r="N6" s="3" t="s">
        <v>1367</v>
      </c>
      <c r="O6" s="3" t="s">
        <v>1333</v>
      </c>
      <c r="P6" s="3" t="s">
        <v>1368</v>
      </c>
      <c r="Q6" s="3" t="s">
        <v>1335</v>
      </c>
      <c r="R6" s="3" t="s">
        <v>1336</v>
      </c>
      <c r="S6" s="3" t="s">
        <v>1337</v>
      </c>
      <c r="T6" s="3" t="s">
        <v>1338</v>
      </c>
      <c r="U6" s="3" t="s">
        <v>1369</v>
      </c>
      <c r="V6" s="3" t="s">
        <v>1340</v>
      </c>
      <c r="W6" s="3" t="s">
        <v>1341</v>
      </c>
      <c r="X6" s="3" t="s">
        <v>1342</v>
      </c>
      <c r="Y6" s="3" t="s">
        <v>224</v>
      </c>
      <c r="Z6" s="3" t="s">
        <v>1370</v>
      </c>
      <c r="AA6" s="3" t="s">
        <v>223</v>
      </c>
      <c r="AB6" s="3" t="s">
        <v>1344</v>
      </c>
      <c r="AC6" s="3"/>
      <c r="AD6" s="3"/>
      <c r="AE6" s="3"/>
      <c r="AF6" s="10">
        <f>IF($AA6="Dropped","N/A",IF(AND($H6&lt;&gt;"",$J6&lt;&gt;"",$K6&lt;&gt;"",$M6&lt;&gt;"",$N6&lt;&gt;"",$P6&lt;&gt;"",$R6&lt;&gt;"",$U6&lt;&gt;"",$V6&lt;&gt;"",$W6&lt;&gt;"",$Z6&lt;&gt;"",$Y6&lt;&gt;""),"READY","INCOMPLETE"))</f>
      </c>
    </row>
    <row x14ac:dyDescent="0.25" r="7" customHeight="1" ht="85.44921875" customFormat="1" s="1">
      <c r="A7" s="4" t="s">
        <v>454</v>
      </c>
      <c r="B7" s="4" t="s">
        <v>1371</v>
      </c>
      <c r="C7" s="4" t="s">
        <v>299</v>
      </c>
      <c r="D7" s="4" t="s">
        <v>300</v>
      </c>
      <c r="E7" s="4" t="s">
        <v>301</v>
      </c>
      <c r="F7" s="4" t="s">
        <v>258</v>
      </c>
      <c r="G7" s="4" t="s">
        <v>1372</v>
      </c>
      <c r="H7" s="4" t="s">
        <v>1373</v>
      </c>
      <c r="I7" s="4" t="s">
        <v>1347</v>
      </c>
      <c r="J7" s="4" t="s">
        <v>1374</v>
      </c>
      <c r="K7" s="4" t="s">
        <v>1329</v>
      </c>
      <c r="L7" s="4" t="s">
        <v>1330</v>
      </c>
      <c r="M7" s="4" t="s">
        <v>1349</v>
      </c>
      <c r="N7" s="4" t="s">
        <v>1350</v>
      </c>
      <c r="O7" s="4" t="s">
        <v>1333</v>
      </c>
      <c r="P7" s="4" t="s">
        <v>1351</v>
      </c>
      <c r="Q7" s="4" t="s">
        <v>1375</v>
      </c>
      <c r="R7" s="4" t="s">
        <v>1336</v>
      </c>
      <c r="S7" s="4" t="s">
        <v>1337</v>
      </c>
      <c r="T7" s="4" t="s">
        <v>1338</v>
      </c>
      <c r="U7" s="4" t="s">
        <v>1376</v>
      </c>
      <c r="V7" s="4" t="s">
        <v>1340</v>
      </c>
      <c r="W7" s="4" t="s">
        <v>1341</v>
      </c>
      <c r="X7" s="4" t="s">
        <v>1342</v>
      </c>
      <c r="Y7" s="4" t="s">
        <v>224</v>
      </c>
      <c r="Z7" s="4" t="s">
        <v>1343</v>
      </c>
      <c r="AA7" s="4" t="s">
        <v>223</v>
      </c>
      <c r="AB7" s="4" t="s">
        <v>1344</v>
      </c>
      <c r="AC7" s="4"/>
      <c r="AD7" s="4"/>
      <c r="AE7" s="4"/>
      <c r="AF7" s="11">
        <f>IF($AA7="Dropped","N/A",IF(AND($H7&lt;&gt;"",$J7&lt;&gt;"",$K7&lt;&gt;"",$M7&lt;&gt;"",$N7&lt;&gt;"",$P7&lt;&gt;"",$R7&lt;&gt;"",$U7&lt;&gt;"",$V7&lt;&gt;"",$W7&lt;&gt;"",$Z7&lt;&gt;"",$Y7&lt;&gt;""),"READY","INCOMPLETE"))</f>
      </c>
    </row>
    <row x14ac:dyDescent="0.25" r="8" customHeight="1" ht="85.44921875" customFormat="1" s="1">
      <c r="A8" s="3" t="s">
        <v>458</v>
      </c>
      <c r="B8" s="3" t="s">
        <v>1377</v>
      </c>
      <c r="C8" s="3" t="s">
        <v>299</v>
      </c>
      <c r="D8" s="3" t="s">
        <v>300</v>
      </c>
      <c r="E8" s="3" t="s">
        <v>301</v>
      </c>
      <c r="F8" s="3" t="s">
        <v>302</v>
      </c>
      <c r="G8" s="3" t="s">
        <v>1378</v>
      </c>
      <c r="H8" s="3" t="s">
        <v>1379</v>
      </c>
      <c r="I8" s="3" t="s">
        <v>1347</v>
      </c>
      <c r="J8" s="3" t="s">
        <v>1380</v>
      </c>
      <c r="K8" s="3" t="s">
        <v>1329</v>
      </c>
      <c r="L8" s="3" t="s">
        <v>1330</v>
      </c>
      <c r="M8" s="3" t="s">
        <v>1349</v>
      </c>
      <c r="N8" s="3" t="s">
        <v>1350</v>
      </c>
      <c r="O8" s="3" t="s">
        <v>1333</v>
      </c>
      <c r="P8" s="3" t="s">
        <v>1351</v>
      </c>
      <c r="Q8" s="3" t="s">
        <v>1335</v>
      </c>
      <c r="R8" s="3" t="s">
        <v>1336</v>
      </c>
      <c r="S8" s="3" t="s">
        <v>1337</v>
      </c>
      <c r="T8" s="3" t="s">
        <v>1338</v>
      </c>
      <c r="U8" s="3" t="s">
        <v>1352</v>
      </c>
      <c r="V8" s="3" t="s">
        <v>1340</v>
      </c>
      <c r="W8" s="3" t="s">
        <v>1341</v>
      </c>
      <c r="X8" s="3" t="s">
        <v>1342</v>
      </c>
      <c r="Y8" s="3" t="s">
        <v>224</v>
      </c>
      <c r="Z8" s="3" t="s">
        <v>1343</v>
      </c>
      <c r="AA8" s="3" t="s">
        <v>223</v>
      </c>
      <c r="AB8" s="3" t="s">
        <v>1344</v>
      </c>
      <c r="AC8" s="3"/>
      <c r="AD8" s="3"/>
      <c r="AE8" s="3"/>
      <c r="AF8" s="10">
        <f>IF($AA8="Dropped","N/A",IF(AND($H8&lt;&gt;"",$J8&lt;&gt;"",$K8&lt;&gt;"",$M8&lt;&gt;"",$N8&lt;&gt;"",$P8&lt;&gt;"",$R8&lt;&gt;"",$U8&lt;&gt;"",$V8&lt;&gt;"",$W8&lt;&gt;"",$Z8&lt;&gt;"",$Y8&lt;&gt;""),"READY","INCOMPLETE"))</f>
      </c>
    </row>
    <row x14ac:dyDescent="0.25" r="9" customHeight="1" ht="85.44921875" customFormat="1" s="1">
      <c r="A9" s="4" t="s">
        <v>462</v>
      </c>
      <c r="B9" s="4" t="s">
        <v>1381</v>
      </c>
      <c r="C9" s="4" t="s">
        <v>299</v>
      </c>
      <c r="D9" s="4" t="s">
        <v>300</v>
      </c>
      <c r="E9" s="4" t="s">
        <v>301</v>
      </c>
      <c r="F9" s="4" t="s">
        <v>302</v>
      </c>
      <c r="G9" s="4" t="s">
        <v>1382</v>
      </c>
      <c r="H9" s="4" t="s">
        <v>1383</v>
      </c>
      <c r="I9" s="4" t="s">
        <v>1347</v>
      </c>
      <c r="J9" s="4" t="s">
        <v>1384</v>
      </c>
      <c r="K9" s="4" t="s">
        <v>1329</v>
      </c>
      <c r="L9" s="4" t="s">
        <v>1330</v>
      </c>
      <c r="M9" s="4" t="s">
        <v>1349</v>
      </c>
      <c r="N9" s="4" t="s">
        <v>1350</v>
      </c>
      <c r="O9" s="4" t="s">
        <v>1333</v>
      </c>
      <c r="P9" s="4" t="s">
        <v>1351</v>
      </c>
      <c r="Q9" s="4" t="s">
        <v>1335</v>
      </c>
      <c r="R9" s="4" t="s">
        <v>1336</v>
      </c>
      <c r="S9" s="4" t="s">
        <v>1337</v>
      </c>
      <c r="T9" s="4" t="s">
        <v>1338</v>
      </c>
      <c r="U9" s="4" t="s">
        <v>1385</v>
      </c>
      <c r="V9" s="4" t="s">
        <v>1340</v>
      </c>
      <c r="W9" s="4" t="s">
        <v>1341</v>
      </c>
      <c r="X9" s="4" t="s">
        <v>1342</v>
      </c>
      <c r="Y9" s="4" t="s">
        <v>224</v>
      </c>
      <c r="Z9" s="4" t="s">
        <v>1343</v>
      </c>
      <c r="AA9" s="4" t="s">
        <v>223</v>
      </c>
      <c r="AB9" s="4" t="s">
        <v>1344</v>
      </c>
      <c r="AC9" s="4"/>
      <c r="AD9" s="4"/>
      <c r="AE9" s="4"/>
      <c r="AF9" s="11">
        <f>IF($AA9="Dropped","N/A",IF(AND($H9&lt;&gt;"",$J9&lt;&gt;"",$K9&lt;&gt;"",$M9&lt;&gt;"",$N9&lt;&gt;"",$P9&lt;&gt;"",$R9&lt;&gt;"",$U9&lt;&gt;"",$V9&lt;&gt;"",$W9&lt;&gt;"",$Z9&lt;&gt;"",$Y9&lt;&gt;""),"READY","INCOMPLETE"))</f>
      </c>
    </row>
    <row x14ac:dyDescent="0.25" r="10" customHeight="1" ht="85.44921875" customFormat="1" s="1">
      <c r="A10" s="3" t="s">
        <v>466</v>
      </c>
      <c r="B10" s="3" t="s">
        <v>1386</v>
      </c>
      <c r="C10" s="3" t="s">
        <v>339</v>
      </c>
      <c r="D10" s="3" t="s">
        <v>300</v>
      </c>
      <c r="E10" s="3" t="s">
        <v>341</v>
      </c>
      <c r="F10" s="3" t="s">
        <v>302</v>
      </c>
      <c r="G10" s="3" t="s">
        <v>469</v>
      </c>
      <c r="H10" s="3" t="s">
        <v>1387</v>
      </c>
      <c r="I10" s="3" t="s">
        <v>1347</v>
      </c>
      <c r="J10" s="3" t="s">
        <v>1388</v>
      </c>
      <c r="K10" s="3" t="s">
        <v>1329</v>
      </c>
      <c r="L10" s="3" t="s">
        <v>1330</v>
      </c>
      <c r="M10" s="3" t="s">
        <v>1349</v>
      </c>
      <c r="N10" s="3" t="s">
        <v>1350</v>
      </c>
      <c r="O10" s="3" t="s">
        <v>1333</v>
      </c>
      <c r="P10" s="3" t="s">
        <v>1351</v>
      </c>
      <c r="Q10" s="3" t="s">
        <v>1335</v>
      </c>
      <c r="R10" s="3" t="s">
        <v>1336</v>
      </c>
      <c r="S10" s="3" t="s">
        <v>1337</v>
      </c>
      <c r="T10" s="3" t="s">
        <v>1338</v>
      </c>
      <c r="U10" s="3" t="s">
        <v>1352</v>
      </c>
      <c r="V10" s="3" t="s">
        <v>1340</v>
      </c>
      <c r="W10" s="3" t="s">
        <v>1341</v>
      </c>
      <c r="X10" s="3" t="s">
        <v>1342</v>
      </c>
      <c r="Y10" s="3" t="s">
        <v>224</v>
      </c>
      <c r="Z10" s="3" t="s">
        <v>1343</v>
      </c>
      <c r="AA10" s="3" t="s">
        <v>223</v>
      </c>
      <c r="AB10" s="3" t="s">
        <v>1344</v>
      </c>
      <c r="AC10" s="3"/>
      <c r="AD10" s="3"/>
      <c r="AE10" s="3"/>
      <c r="AF10" s="10">
        <f>IF($AA10="Dropped","N/A",IF(AND($H10&lt;&gt;"",$J10&lt;&gt;"",$K10&lt;&gt;"",$M10&lt;&gt;"",$N10&lt;&gt;"",$P10&lt;&gt;"",$R10&lt;&gt;"",$U10&lt;&gt;"",$V10&lt;&gt;"",$W10&lt;&gt;"",$Z10&lt;&gt;"",$Y10&lt;&gt;""),"READY","INCOMPLETE"))</f>
      </c>
    </row>
    <row x14ac:dyDescent="0.25" r="11" customHeight="1" ht="85.44921875" customFormat="1" s="1">
      <c r="A11" s="4" t="s">
        <v>470</v>
      </c>
      <c r="B11" s="4" t="s">
        <v>1389</v>
      </c>
      <c r="C11" s="4" t="s">
        <v>339</v>
      </c>
      <c r="D11" s="4" t="s">
        <v>300</v>
      </c>
      <c r="E11" s="4" t="s">
        <v>341</v>
      </c>
      <c r="F11" s="4" t="s">
        <v>302</v>
      </c>
      <c r="G11" s="4" t="s">
        <v>1390</v>
      </c>
      <c r="H11" s="4" t="s">
        <v>1391</v>
      </c>
      <c r="I11" s="4" t="s">
        <v>1347</v>
      </c>
      <c r="J11" s="4" t="s">
        <v>1392</v>
      </c>
      <c r="K11" s="4" t="s">
        <v>1329</v>
      </c>
      <c r="L11" s="4" t="s">
        <v>1330</v>
      </c>
      <c r="M11" s="4" t="s">
        <v>1349</v>
      </c>
      <c r="N11" s="4" t="s">
        <v>1350</v>
      </c>
      <c r="O11" s="4" t="s">
        <v>1333</v>
      </c>
      <c r="P11" s="4" t="s">
        <v>1351</v>
      </c>
      <c r="Q11" s="4" t="s">
        <v>1335</v>
      </c>
      <c r="R11" s="4" t="s">
        <v>1336</v>
      </c>
      <c r="S11" s="4" t="s">
        <v>1337</v>
      </c>
      <c r="T11" s="4" t="s">
        <v>1338</v>
      </c>
      <c r="U11" s="4" t="s">
        <v>1352</v>
      </c>
      <c r="V11" s="4" t="s">
        <v>1340</v>
      </c>
      <c r="W11" s="4" t="s">
        <v>1341</v>
      </c>
      <c r="X11" s="4" t="s">
        <v>1342</v>
      </c>
      <c r="Y11" s="4" t="s">
        <v>224</v>
      </c>
      <c r="Z11" s="4" t="s">
        <v>1343</v>
      </c>
      <c r="AA11" s="4" t="s">
        <v>223</v>
      </c>
      <c r="AB11" s="4" t="s">
        <v>1344</v>
      </c>
      <c r="AC11" s="4"/>
      <c r="AD11" s="4"/>
      <c r="AE11" s="4"/>
      <c r="AF11" s="11">
        <f>IF($AA11="Dropped","N/A",IF(AND($H11&lt;&gt;"",$J11&lt;&gt;"",$K11&lt;&gt;"",$M11&lt;&gt;"",$N11&lt;&gt;"",$P11&lt;&gt;"",$R11&lt;&gt;"",$U11&lt;&gt;"",$V11&lt;&gt;"",$W11&lt;&gt;"",$Z11&lt;&gt;"",$Y11&lt;&gt;""),"READY","INCOMPLETE"))</f>
      </c>
    </row>
    <row x14ac:dyDescent="0.25" r="12" customHeight="1" ht="85.44921875" customFormat="1" s="1">
      <c r="A12" s="3" t="s">
        <v>474</v>
      </c>
      <c r="B12" s="3" t="s">
        <v>1393</v>
      </c>
      <c r="C12" s="3" t="s">
        <v>339</v>
      </c>
      <c r="D12" s="3" t="s">
        <v>300</v>
      </c>
      <c r="E12" s="3" t="s">
        <v>341</v>
      </c>
      <c r="F12" s="3" t="s">
        <v>302</v>
      </c>
      <c r="G12" s="3" t="s">
        <v>477</v>
      </c>
      <c r="H12" s="3" t="s">
        <v>1394</v>
      </c>
      <c r="I12" s="3" t="s">
        <v>1347</v>
      </c>
      <c r="J12" s="3" t="s">
        <v>1395</v>
      </c>
      <c r="K12" s="3" t="s">
        <v>1329</v>
      </c>
      <c r="L12" s="3" t="s">
        <v>1330</v>
      </c>
      <c r="M12" s="3" t="s">
        <v>1349</v>
      </c>
      <c r="N12" s="3" t="s">
        <v>1350</v>
      </c>
      <c r="O12" s="3" t="s">
        <v>1333</v>
      </c>
      <c r="P12" s="3" t="s">
        <v>1351</v>
      </c>
      <c r="Q12" s="3" t="s">
        <v>1335</v>
      </c>
      <c r="R12" s="3" t="s">
        <v>1336</v>
      </c>
      <c r="S12" s="3" t="s">
        <v>1337</v>
      </c>
      <c r="T12" s="3" t="s">
        <v>1338</v>
      </c>
      <c r="U12" s="3" t="s">
        <v>1352</v>
      </c>
      <c r="V12" s="3" t="s">
        <v>1340</v>
      </c>
      <c r="W12" s="3" t="s">
        <v>1341</v>
      </c>
      <c r="X12" s="3" t="s">
        <v>1342</v>
      </c>
      <c r="Y12" s="3" t="s">
        <v>224</v>
      </c>
      <c r="Z12" s="3" t="s">
        <v>1343</v>
      </c>
      <c r="AA12" s="3" t="s">
        <v>223</v>
      </c>
      <c r="AB12" s="3" t="s">
        <v>1344</v>
      </c>
      <c r="AC12" s="3"/>
      <c r="AD12" s="3"/>
      <c r="AE12" s="3"/>
      <c r="AF12" s="10">
        <f>IF($AA12="Dropped","N/A",IF(AND($H12&lt;&gt;"",$J12&lt;&gt;"",$K12&lt;&gt;"",$M12&lt;&gt;"",$N12&lt;&gt;"",$P12&lt;&gt;"",$R12&lt;&gt;"",$U12&lt;&gt;"",$V12&lt;&gt;"",$W12&lt;&gt;"",$Z12&lt;&gt;"",$Y12&lt;&gt;""),"READY","INCOMPLETE"))</f>
      </c>
    </row>
    <row x14ac:dyDescent="0.25" r="13" customHeight="1" ht="85.44921875" customFormat="1" s="1">
      <c r="A13" s="4" t="s">
        <v>478</v>
      </c>
      <c r="B13" s="4" t="s">
        <v>533</v>
      </c>
      <c r="C13" s="4" t="s">
        <v>345</v>
      </c>
      <c r="D13" s="4" t="s">
        <v>256</v>
      </c>
      <c r="E13" s="4" t="s">
        <v>393</v>
      </c>
      <c r="F13" s="4" t="s">
        <v>258</v>
      </c>
      <c r="G13" s="4" t="s">
        <v>1396</v>
      </c>
      <c r="H13" s="4" t="s">
        <v>1397</v>
      </c>
      <c r="I13" s="4" t="s">
        <v>1347</v>
      </c>
      <c r="J13" s="4" t="s">
        <v>1398</v>
      </c>
      <c r="K13" s="4" t="s">
        <v>1329</v>
      </c>
      <c r="L13" s="4" t="s">
        <v>1330</v>
      </c>
      <c r="M13" s="4" t="s">
        <v>1349</v>
      </c>
      <c r="N13" s="4" t="s">
        <v>1399</v>
      </c>
      <c r="O13" s="4" t="s">
        <v>1333</v>
      </c>
      <c r="P13" s="4" t="s">
        <v>1351</v>
      </c>
      <c r="Q13" s="4" t="s">
        <v>1335</v>
      </c>
      <c r="R13" s="4" t="s">
        <v>1336</v>
      </c>
      <c r="S13" s="4" t="s">
        <v>1400</v>
      </c>
      <c r="T13" s="4" t="s">
        <v>1338</v>
      </c>
      <c r="U13" s="4" t="s">
        <v>1352</v>
      </c>
      <c r="V13" s="4" t="s">
        <v>1340</v>
      </c>
      <c r="W13" s="4" t="s">
        <v>1341</v>
      </c>
      <c r="X13" s="4" t="s">
        <v>1342</v>
      </c>
      <c r="Y13" s="4" t="s">
        <v>304</v>
      </c>
      <c r="Z13" s="4" t="s">
        <v>1343</v>
      </c>
      <c r="AA13" s="4" t="s">
        <v>223</v>
      </c>
      <c r="AB13" s="4" t="s">
        <v>1344</v>
      </c>
      <c r="AC13" s="4"/>
      <c r="AD13" s="4"/>
      <c r="AE13" s="4"/>
      <c r="AF13" s="11">
        <f>IF($AA13="Dropped","N/A",IF(AND($H13&lt;&gt;"",$J13&lt;&gt;"",$K13&lt;&gt;"",$M13&lt;&gt;"",$N13&lt;&gt;"",$P13&lt;&gt;"",$R13&lt;&gt;"",$U13&lt;&gt;"",$V13&lt;&gt;"",$W13&lt;&gt;"",$Z13&lt;&gt;"",$Y13&lt;&gt;""),"READY","INCOMPLETE"))</f>
      </c>
    </row>
    <row x14ac:dyDescent="0.25" r="14" customHeight="1" ht="85.44921875" customFormat="1" s="1">
      <c r="A14" s="3" t="s">
        <v>483</v>
      </c>
      <c r="B14" s="3" t="s">
        <v>538</v>
      </c>
      <c r="C14" s="3" t="s">
        <v>345</v>
      </c>
      <c r="D14" s="3" t="s">
        <v>256</v>
      </c>
      <c r="E14" s="3" t="s">
        <v>393</v>
      </c>
      <c r="F14" s="3" t="s">
        <v>258</v>
      </c>
      <c r="G14" s="3" t="s">
        <v>539</v>
      </c>
      <c r="H14" s="3" t="s">
        <v>1401</v>
      </c>
      <c r="I14" s="3" t="s">
        <v>1347</v>
      </c>
      <c r="J14" s="3" t="s">
        <v>1402</v>
      </c>
      <c r="K14" s="3" t="s">
        <v>1329</v>
      </c>
      <c r="L14" s="3" t="s">
        <v>1330</v>
      </c>
      <c r="M14" s="3" t="s">
        <v>1349</v>
      </c>
      <c r="N14" s="3" t="s">
        <v>1350</v>
      </c>
      <c r="O14" s="3" t="s">
        <v>1333</v>
      </c>
      <c r="P14" s="3" t="s">
        <v>1351</v>
      </c>
      <c r="Q14" s="3" t="s">
        <v>1403</v>
      </c>
      <c r="R14" s="3" t="s">
        <v>1336</v>
      </c>
      <c r="S14" s="3" t="s">
        <v>1337</v>
      </c>
      <c r="T14" s="3" t="s">
        <v>1338</v>
      </c>
      <c r="U14" s="3" t="s">
        <v>1352</v>
      </c>
      <c r="V14" s="3" t="s">
        <v>1340</v>
      </c>
      <c r="W14" s="3" t="s">
        <v>1341</v>
      </c>
      <c r="X14" s="3" t="s">
        <v>1342</v>
      </c>
      <c r="Y14" s="3" t="s">
        <v>304</v>
      </c>
      <c r="Z14" s="3" t="s">
        <v>1343</v>
      </c>
      <c r="AA14" s="3" t="s">
        <v>223</v>
      </c>
      <c r="AB14" s="3" t="s">
        <v>1344</v>
      </c>
      <c r="AC14" s="3"/>
      <c r="AD14" s="3"/>
      <c r="AE14" s="3"/>
      <c r="AF14" s="10">
        <f>IF($AA14="Dropped","N/A",IF(AND($H14&lt;&gt;"",$J14&lt;&gt;"",$K14&lt;&gt;"",$M14&lt;&gt;"",$N14&lt;&gt;"",$P14&lt;&gt;"",$R14&lt;&gt;"",$U14&lt;&gt;"",$V14&lt;&gt;"",$W14&lt;&gt;"",$Z14&lt;&gt;"",$Y14&lt;&gt;""),"READY","INCOMPLETE"))</f>
      </c>
    </row>
    <row x14ac:dyDescent="0.25" r="15" customHeight="1" ht="102.5390625" customFormat="1" s="1">
      <c r="A15" s="4" t="s">
        <v>486</v>
      </c>
      <c r="B15" s="4" t="s">
        <v>1404</v>
      </c>
      <c r="C15" s="4" t="s">
        <v>345</v>
      </c>
      <c r="D15" s="4" t="s">
        <v>256</v>
      </c>
      <c r="E15" s="4" t="s">
        <v>393</v>
      </c>
      <c r="F15" s="4" t="s">
        <v>258</v>
      </c>
      <c r="G15" s="4" t="s">
        <v>487</v>
      </c>
      <c r="H15" s="4" t="s">
        <v>1405</v>
      </c>
      <c r="I15" s="4" t="s">
        <v>1406</v>
      </c>
      <c r="J15" s="4" t="s">
        <v>1407</v>
      </c>
      <c r="K15" s="4" t="s">
        <v>1329</v>
      </c>
      <c r="L15" s="4" t="s">
        <v>1330</v>
      </c>
      <c r="M15" s="4" t="s">
        <v>1349</v>
      </c>
      <c r="N15" s="4" t="s">
        <v>1408</v>
      </c>
      <c r="O15" s="4" t="s">
        <v>1333</v>
      </c>
      <c r="P15" s="4" t="s">
        <v>1351</v>
      </c>
      <c r="Q15" s="4" t="s">
        <v>1335</v>
      </c>
      <c r="R15" s="4" t="s">
        <v>1409</v>
      </c>
      <c r="S15" s="4" t="s">
        <v>1410</v>
      </c>
      <c r="T15" s="4" t="s">
        <v>1411</v>
      </c>
      <c r="U15" s="4" t="s">
        <v>1412</v>
      </c>
      <c r="V15" s="4" t="s">
        <v>1413</v>
      </c>
      <c r="W15" s="4" t="s">
        <v>1414</v>
      </c>
      <c r="X15" s="4" t="s">
        <v>1415</v>
      </c>
      <c r="Y15" s="4" t="s">
        <v>304</v>
      </c>
      <c r="Z15" s="4" t="s">
        <v>1416</v>
      </c>
      <c r="AA15" s="4" t="s">
        <v>223</v>
      </c>
      <c r="AB15" s="4" t="s">
        <v>1344</v>
      </c>
      <c r="AC15" s="4"/>
      <c r="AD15" s="4"/>
      <c r="AE15" s="4" t="s">
        <v>1417</v>
      </c>
      <c r="AF15" s="4"/>
    </row>
    <row x14ac:dyDescent="0.25" r="16" customHeight="1" ht="119.62890625" customFormat="1" s="1">
      <c r="A16" s="3" t="s">
        <v>490</v>
      </c>
      <c r="B16" s="3" t="s">
        <v>1418</v>
      </c>
      <c r="C16" s="3" t="s">
        <v>345</v>
      </c>
      <c r="D16" s="3" t="s">
        <v>340</v>
      </c>
      <c r="E16" s="3" t="s">
        <v>393</v>
      </c>
      <c r="F16" s="3" t="s">
        <v>302</v>
      </c>
      <c r="G16" s="3" t="s">
        <v>1419</v>
      </c>
      <c r="H16" s="3" t="s">
        <v>1420</v>
      </c>
      <c r="I16" s="3" t="s">
        <v>1421</v>
      </c>
      <c r="J16" s="3" t="s">
        <v>1422</v>
      </c>
      <c r="K16" s="3" t="s">
        <v>1329</v>
      </c>
      <c r="L16" s="3" t="s">
        <v>1330</v>
      </c>
      <c r="M16" s="3" t="s">
        <v>1349</v>
      </c>
      <c r="N16" s="3" t="s">
        <v>1423</v>
      </c>
      <c r="O16" s="3" t="s">
        <v>1333</v>
      </c>
      <c r="P16" s="3" t="s">
        <v>1351</v>
      </c>
      <c r="Q16" s="3" t="s">
        <v>1335</v>
      </c>
      <c r="R16" s="3" t="s">
        <v>1336</v>
      </c>
      <c r="S16" s="3" t="s">
        <v>1337</v>
      </c>
      <c r="T16" s="3" t="s">
        <v>1424</v>
      </c>
      <c r="U16" s="3" t="s">
        <v>1425</v>
      </c>
      <c r="V16" s="3" t="s">
        <v>1426</v>
      </c>
      <c r="W16" s="3" t="s">
        <v>1427</v>
      </c>
      <c r="X16" s="3" t="s">
        <v>1342</v>
      </c>
      <c r="Y16" s="3" t="s">
        <v>344</v>
      </c>
      <c r="Z16" s="3" t="s">
        <v>1343</v>
      </c>
      <c r="AA16" s="3" t="s">
        <v>223</v>
      </c>
      <c r="AB16" s="3" t="s">
        <v>1344</v>
      </c>
      <c r="AC16" s="3"/>
      <c r="AD16" s="3"/>
      <c r="AE16" s="3" t="s">
        <v>1428</v>
      </c>
      <c r="AF16" s="3"/>
    </row>
    <row x14ac:dyDescent="0.25" r="17" customHeight="1" ht="85.44921875" customFormat="1" s="1">
      <c r="A17" s="4" t="s">
        <v>9</v>
      </c>
      <c r="B17" s="4" t="s">
        <v>542</v>
      </c>
      <c r="C17" s="4" t="s">
        <v>392</v>
      </c>
      <c r="D17" s="4" t="s">
        <v>220</v>
      </c>
      <c r="E17" s="4" t="s">
        <v>375</v>
      </c>
      <c r="F17" s="4" t="s">
        <v>222</v>
      </c>
      <c r="G17" s="4" t="s">
        <v>1429</v>
      </c>
      <c r="H17" s="4" t="s">
        <v>1430</v>
      </c>
      <c r="I17" s="4" t="s">
        <v>1347</v>
      </c>
      <c r="J17" s="4" t="s">
        <v>1431</v>
      </c>
      <c r="K17" s="4" t="s">
        <v>1329</v>
      </c>
      <c r="L17" s="4" t="s">
        <v>1330</v>
      </c>
      <c r="M17" s="4" t="s">
        <v>1432</v>
      </c>
      <c r="N17" s="4" t="s">
        <v>1013</v>
      </c>
      <c r="O17" s="4" t="s">
        <v>1333</v>
      </c>
      <c r="P17" s="4" t="s">
        <v>1351</v>
      </c>
      <c r="Q17" s="4" t="s">
        <v>1433</v>
      </c>
      <c r="R17" s="4" t="s">
        <v>1336</v>
      </c>
      <c r="S17" s="4" t="s">
        <v>1337</v>
      </c>
      <c r="T17" s="4" t="s">
        <v>1338</v>
      </c>
      <c r="U17" s="4" t="s">
        <v>1434</v>
      </c>
      <c r="V17" s="4" t="s">
        <v>1340</v>
      </c>
      <c r="W17" s="4" t="s">
        <v>1341</v>
      </c>
      <c r="X17" s="4" t="s">
        <v>1342</v>
      </c>
      <c r="Y17" s="4" t="s">
        <v>260</v>
      </c>
      <c r="Z17" s="4" t="s">
        <v>1343</v>
      </c>
      <c r="AA17" s="4" t="s">
        <v>223</v>
      </c>
      <c r="AB17" s="4" t="s">
        <v>1344</v>
      </c>
      <c r="AC17" s="4"/>
      <c r="AD17" s="4"/>
      <c r="AE17" s="4"/>
      <c r="AF17" s="11">
        <f>IF($AA17="Dropped","N/A",IF(AND($H17&lt;&gt;"",$J17&lt;&gt;"",$K17&lt;&gt;"",$M17&lt;&gt;"",$N17&lt;&gt;"",$P17&lt;&gt;"",$R17&lt;&gt;"",$U17&lt;&gt;"",$V17&lt;&gt;"",$W17&lt;&gt;"",$Z17&lt;&gt;"",$Y17&lt;&gt;""),"READY","INCOMPLETE"))</f>
      </c>
    </row>
    <row x14ac:dyDescent="0.25" r="18" customHeight="1" ht="85.44921875" customFormat="1" s="1">
      <c r="A18" s="3" t="s">
        <v>499</v>
      </c>
      <c r="B18" s="3" t="s">
        <v>544</v>
      </c>
      <c r="C18" s="3" t="s">
        <v>392</v>
      </c>
      <c r="D18" s="3" t="s">
        <v>220</v>
      </c>
      <c r="E18" s="3" t="s">
        <v>375</v>
      </c>
      <c r="F18" s="3" t="s">
        <v>222</v>
      </c>
      <c r="G18" s="3" t="s">
        <v>1435</v>
      </c>
      <c r="H18" s="3" t="s">
        <v>1436</v>
      </c>
      <c r="I18" s="3" t="s">
        <v>1347</v>
      </c>
      <c r="J18" s="3" t="s">
        <v>1431</v>
      </c>
      <c r="K18" s="3" t="s">
        <v>1329</v>
      </c>
      <c r="L18" s="3" t="s">
        <v>1330</v>
      </c>
      <c r="M18" s="3" t="s">
        <v>1432</v>
      </c>
      <c r="N18" s="3" t="s">
        <v>1437</v>
      </c>
      <c r="O18" s="3" t="s">
        <v>1333</v>
      </c>
      <c r="P18" s="3" t="s">
        <v>1351</v>
      </c>
      <c r="Q18" s="3" t="s">
        <v>1433</v>
      </c>
      <c r="R18" s="3" t="s">
        <v>1336</v>
      </c>
      <c r="S18" s="3" t="s">
        <v>1337</v>
      </c>
      <c r="T18" s="3" t="s">
        <v>1338</v>
      </c>
      <c r="U18" s="3" t="s">
        <v>1438</v>
      </c>
      <c r="V18" s="3" t="s">
        <v>1340</v>
      </c>
      <c r="W18" s="3" t="s">
        <v>1341</v>
      </c>
      <c r="X18" s="3" t="s">
        <v>1342</v>
      </c>
      <c r="Y18" s="3" t="s">
        <v>260</v>
      </c>
      <c r="Z18" s="3" t="s">
        <v>1439</v>
      </c>
      <c r="AA18" s="3" t="s">
        <v>223</v>
      </c>
      <c r="AB18" s="3" t="s">
        <v>1344</v>
      </c>
      <c r="AC18" s="3"/>
      <c r="AD18" s="3"/>
      <c r="AE18" s="3"/>
      <c r="AF18" s="10">
        <f>IF($AA18="Dropped","N/A",IF(AND($H18&lt;&gt;"",$J18&lt;&gt;"",$K18&lt;&gt;"",$M18&lt;&gt;"",$N18&lt;&gt;"",$P18&lt;&gt;"",$R18&lt;&gt;"",$U18&lt;&gt;"",$V18&lt;&gt;"",$W18&lt;&gt;"",$Z18&lt;&gt;"",$Y18&lt;&gt;""),"READY","INCOMPLETE"))</f>
      </c>
    </row>
    <row x14ac:dyDescent="0.25" r="19" customHeight="1" ht="102.5390625" customFormat="1" s="1">
      <c r="A19" s="4" t="s">
        <v>503</v>
      </c>
      <c r="B19" s="4" t="s">
        <v>1440</v>
      </c>
      <c r="C19" s="4" t="s">
        <v>403</v>
      </c>
      <c r="D19" s="4" t="s">
        <v>374</v>
      </c>
      <c r="E19" s="4" t="s">
        <v>404</v>
      </c>
      <c r="F19" s="4" t="s">
        <v>342</v>
      </c>
      <c r="G19" s="4" t="s">
        <v>1441</v>
      </c>
      <c r="H19" s="4" t="s">
        <v>1442</v>
      </c>
      <c r="I19" s="4" t="s">
        <v>1347</v>
      </c>
      <c r="J19" s="4" t="s">
        <v>1443</v>
      </c>
      <c r="K19" s="4" t="s">
        <v>1329</v>
      </c>
      <c r="L19" s="4" t="s">
        <v>1444</v>
      </c>
      <c r="M19" s="4" t="s">
        <v>1349</v>
      </c>
      <c r="N19" s="4" t="s">
        <v>1350</v>
      </c>
      <c r="O19" s="4" t="s">
        <v>1333</v>
      </c>
      <c r="P19" s="4" t="s">
        <v>1351</v>
      </c>
      <c r="Q19" s="4" t="s">
        <v>1335</v>
      </c>
      <c r="R19" s="4" t="s">
        <v>1336</v>
      </c>
      <c r="S19" s="4" t="s">
        <v>1337</v>
      </c>
      <c r="T19" s="4" t="s">
        <v>1338</v>
      </c>
      <c r="U19" s="4" t="s">
        <v>1352</v>
      </c>
      <c r="V19" s="4" t="s">
        <v>1340</v>
      </c>
      <c r="W19" s="4" t="s">
        <v>1341</v>
      </c>
      <c r="X19" s="4" t="s">
        <v>1342</v>
      </c>
      <c r="Y19" s="4" t="s">
        <v>347</v>
      </c>
      <c r="Z19" s="4" t="s">
        <v>1343</v>
      </c>
      <c r="AA19" s="4" t="s">
        <v>223</v>
      </c>
      <c r="AB19" s="4" t="s">
        <v>1344</v>
      </c>
      <c r="AC19" s="4"/>
      <c r="AD19" s="4"/>
      <c r="AE19" s="4"/>
      <c r="AF19" s="11">
        <f>IF($AA19="Dropped","N/A",IF(AND($H19&lt;&gt;"",$J19&lt;&gt;"",$K19&lt;&gt;"",$M19&lt;&gt;"",$N19&lt;&gt;"",$P19&lt;&gt;"",$R19&lt;&gt;"",$U19&lt;&gt;"",$V19&lt;&gt;"",$W19&lt;&gt;"",$Z19&lt;&gt;"",$Y19&lt;&gt;""),"READY","INCOMPLETE"))</f>
      </c>
    </row>
    <row x14ac:dyDescent="0.25" r="20" customHeight="1" ht="85.44921875" customFormat="1" s="1">
      <c r="A20" s="3" t="s">
        <v>507</v>
      </c>
      <c r="B20" s="3" t="s">
        <v>1445</v>
      </c>
      <c r="C20" s="3" t="s">
        <v>403</v>
      </c>
      <c r="D20" s="3" t="s">
        <v>374</v>
      </c>
      <c r="E20" s="3" t="s">
        <v>404</v>
      </c>
      <c r="F20" s="3" t="s">
        <v>342</v>
      </c>
      <c r="G20" s="3" t="s">
        <v>1446</v>
      </c>
      <c r="H20" s="3" t="s">
        <v>1447</v>
      </c>
      <c r="I20" s="3" t="s">
        <v>1347</v>
      </c>
      <c r="J20" s="3" t="s">
        <v>1448</v>
      </c>
      <c r="K20" s="3" t="s">
        <v>1329</v>
      </c>
      <c r="L20" s="3" t="s">
        <v>1444</v>
      </c>
      <c r="M20" s="3" t="s">
        <v>1349</v>
      </c>
      <c r="N20" s="3" t="s">
        <v>1350</v>
      </c>
      <c r="O20" s="3" t="s">
        <v>1333</v>
      </c>
      <c r="P20" s="3" t="s">
        <v>1351</v>
      </c>
      <c r="Q20" s="3" t="s">
        <v>1375</v>
      </c>
      <c r="R20" s="3" t="s">
        <v>1336</v>
      </c>
      <c r="S20" s="3" t="s">
        <v>1337</v>
      </c>
      <c r="T20" s="3" t="s">
        <v>1338</v>
      </c>
      <c r="U20" s="3" t="s">
        <v>1352</v>
      </c>
      <c r="V20" s="3" t="s">
        <v>1340</v>
      </c>
      <c r="W20" s="3" t="s">
        <v>1341</v>
      </c>
      <c r="X20" s="3" t="s">
        <v>1342</v>
      </c>
      <c r="Y20" s="3" t="s">
        <v>347</v>
      </c>
      <c r="Z20" s="3" t="s">
        <v>1343</v>
      </c>
      <c r="AA20" s="3" t="s">
        <v>223</v>
      </c>
      <c r="AB20" s="3" t="s">
        <v>1344</v>
      </c>
      <c r="AC20" s="3"/>
      <c r="AD20" s="3"/>
      <c r="AE20" s="3"/>
      <c r="AF20" s="10">
        <f>IF($AA20="Dropped","N/A",IF(AND($H20&lt;&gt;"",$J20&lt;&gt;"",$K20&lt;&gt;"",$M20&lt;&gt;"",$N20&lt;&gt;"",$P20&lt;&gt;"",$R20&lt;&gt;"",$U20&lt;&gt;"",$V20&lt;&gt;"",$W20&lt;&gt;"",$Z20&lt;&gt;"",$Y20&lt;&gt;""),"READY","INCOMPLETE"))</f>
      </c>
    </row>
    <row x14ac:dyDescent="0.25" r="21" customHeight="1" ht="119.62890625" customFormat="1" s="1">
      <c r="A21" s="8" t="s">
        <v>22</v>
      </c>
      <c r="B21" s="8" t="s">
        <v>545</v>
      </c>
      <c r="C21" s="8" t="s">
        <v>345</v>
      </c>
      <c r="D21" s="8" t="s">
        <v>256</v>
      </c>
      <c r="E21" s="8" t="s">
        <v>393</v>
      </c>
      <c r="F21" s="8" t="s">
        <v>258</v>
      </c>
      <c r="G21" s="8" t="s">
        <v>1449</v>
      </c>
      <c r="H21" s="8" t="s">
        <v>1450</v>
      </c>
      <c r="I21" s="8" t="s">
        <v>1451</v>
      </c>
      <c r="J21" s="8" t="s">
        <v>1452</v>
      </c>
      <c r="K21" s="8" t="s">
        <v>1329</v>
      </c>
      <c r="L21" s="8" t="s">
        <v>1330</v>
      </c>
      <c r="M21" s="8" t="s">
        <v>1453</v>
      </c>
      <c r="N21" s="8" t="s">
        <v>1454</v>
      </c>
      <c r="O21" s="8" t="s">
        <v>1455</v>
      </c>
      <c r="P21" s="8" t="s">
        <v>1456</v>
      </c>
      <c r="Q21" s="8" t="s">
        <v>1335</v>
      </c>
      <c r="R21" s="8" t="s">
        <v>1336</v>
      </c>
      <c r="S21" s="8" t="s">
        <v>1457</v>
      </c>
      <c r="T21" s="8" t="s">
        <v>1458</v>
      </c>
      <c r="U21" s="8" t="s">
        <v>1459</v>
      </c>
      <c r="V21" s="8" t="s">
        <v>1460</v>
      </c>
      <c r="W21" s="8" t="s">
        <v>1461</v>
      </c>
      <c r="X21" s="8" t="s">
        <v>1462</v>
      </c>
      <c r="Y21" s="8" t="s">
        <v>304</v>
      </c>
      <c r="Z21" s="8" t="s">
        <v>1463</v>
      </c>
      <c r="AA21" s="8" t="s">
        <v>223</v>
      </c>
      <c r="AB21" s="8" t="s">
        <v>1344</v>
      </c>
      <c r="AC21" s="8"/>
      <c r="AD21" s="8"/>
      <c r="AE21" s="8" t="s">
        <v>1464</v>
      </c>
      <c r="AF21" s="8"/>
    </row>
    <row x14ac:dyDescent="0.25" r="22" customHeight="1" ht="102.5390625" customFormat="1" s="1">
      <c r="A22" s="8" t="s">
        <v>513</v>
      </c>
      <c r="B22" s="8" t="s">
        <v>514</v>
      </c>
      <c r="C22" s="8" t="s">
        <v>345</v>
      </c>
      <c r="D22" s="8" t="s">
        <v>256</v>
      </c>
      <c r="E22" s="8" t="s">
        <v>393</v>
      </c>
      <c r="F22" s="8" t="s">
        <v>258</v>
      </c>
      <c r="G22" s="8" t="s">
        <v>548</v>
      </c>
      <c r="H22" s="8" t="s">
        <v>1465</v>
      </c>
      <c r="I22" s="8" t="s">
        <v>1466</v>
      </c>
      <c r="J22" s="8" t="s">
        <v>1467</v>
      </c>
      <c r="K22" s="8" t="s">
        <v>1329</v>
      </c>
      <c r="L22" s="8" t="s">
        <v>1330</v>
      </c>
      <c r="M22" s="8" t="s">
        <v>1349</v>
      </c>
      <c r="N22" s="8" t="s">
        <v>807</v>
      </c>
      <c r="O22" s="8" t="s">
        <v>1333</v>
      </c>
      <c r="P22" s="8" t="s">
        <v>1468</v>
      </c>
      <c r="Q22" s="8" t="s">
        <v>1335</v>
      </c>
      <c r="R22" s="8" t="s">
        <v>1336</v>
      </c>
      <c r="S22" s="8" t="s">
        <v>1337</v>
      </c>
      <c r="T22" s="8" t="s">
        <v>1469</v>
      </c>
      <c r="U22" s="8" t="s">
        <v>1470</v>
      </c>
      <c r="V22" s="8" t="s">
        <v>1471</v>
      </c>
      <c r="W22" s="8" t="s">
        <v>1472</v>
      </c>
      <c r="X22" s="8" t="s">
        <v>1473</v>
      </c>
      <c r="Y22" s="8" t="s">
        <v>304</v>
      </c>
      <c r="Z22" s="8" t="s">
        <v>1474</v>
      </c>
      <c r="AA22" s="8" t="s">
        <v>223</v>
      </c>
      <c r="AB22" s="8" t="s">
        <v>1344</v>
      </c>
      <c r="AC22" s="8"/>
      <c r="AD22" s="8"/>
      <c r="AE22" s="8" t="s">
        <v>1475</v>
      </c>
      <c r="AF22" s="8"/>
    </row>
    <row x14ac:dyDescent="0.25" r="23" customHeight="1" ht="102.5390625" customFormat="1" s="1">
      <c r="A23" s="8" t="s">
        <v>517</v>
      </c>
      <c r="B23" s="8" t="s">
        <v>518</v>
      </c>
      <c r="C23" s="8" t="s">
        <v>345</v>
      </c>
      <c r="D23" s="8" t="s">
        <v>256</v>
      </c>
      <c r="E23" s="8" t="s">
        <v>393</v>
      </c>
      <c r="F23" s="8" t="s">
        <v>258</v>
      </c>
      <c r="G23" s="8" t="s">
        <v>550</v>
      </c>
      <c r="H23" s="8" t="s">
        <v>1476</v>
      </c>
      <c r="I23" s="8" t="s">
        <v>1477</v>
      </c>
      <c r="J23" s="8" t="s">
        <v>1478</v>
      </c>
      <c r="K23" s="8" t="s">
        <v>1329</v>
      </c>
      <c r="L23" s="8" t="s">
        <v>1330</v>
      </c>
      <c r="M23" s="8" t="s">
        <v>1349</v>
      </c>
      <c r="N23" s="8" t="s">
        <v>814</v>
      </c>
      <c r="O23" s="8" t="s">
        <v>1333</v>
      </c>
      <c r="P23" s="8" t="s">
        <v>1479</v>
      </c>
      <c r="Q23" s="8" t="s">
        <v>1335</v>
      </c>
      <c r="R23" s="8" t="s">
        <v>1336</v>
      </c>
      <c r="S23" s="8" t="s">
        <v>1337</v>
      </c>
      <c r="T23" s="8" t="s">
        <v>1480</v>
      </c>
      <c r="U23" s="8" t="s">
        <v>1470</v>
      </c>
      <c r="V23" s="8" t="s">
        <v>1481</v>
      </c>
      <c r="W23" s="8" t="s">
        <v>1482</v>
      </c>
      <c r="X23" s="8" t="s">
        <v>1483</v>
      </c>
      <c r="Y23" s="8" t="s">
        <v>304</v>
      </c>
      <c r="Z23" s="8" t="s">
        <v>1484</v>
      </c>
      <c r="AA23" s="8" t="s">
        <v>223</v>
      </c>
      <c r="AB23" s="8" t="s">
        <v>1344</v>
      </c>
      <c r="AC23" s="8"/>
      <c r="AD23" s="8"/>
      <c r="AE23" s="8" t="s">
        <v>1485</v>
      </c>
      <c r="AF23" s="8"/>
    </row>
    <row x14ac:dyDescent="0.25" r="24" customHeight="1" ht="102.5390625" customFormat="1" s="1">
      <c r="A24" s="8" t="s">
        <v>35</v>
      </c>
      <c r="B24" s="8" t="s">
        <v>1486</v>
      </c>
      <c r="C24" s="8" t="s">
        <v>345</v>
      </c>
      <c r="D24" s="8" t="s">
        <v>256</v>
      </c>
      <c r="E24" s="8" t="s">
        <v>393</v>
      </c>
      <c r="F24" s="8" t="s">
        <v>258</v>
      </c>
      <c r="G24" s="8" t="s">
        <v>1487</v>
      </c>
      <c r="H24" s="8" t="s">
        <v>1488</v>
      </c>
      <c r="I24" s="8" t="s">
        <v>1489</v>
      </c>
      <c r="J24" s="8" t="s">
        <v>1490</v>
      </c>
      <c r="K24" s="8" t="s">
        <v>1329</v>
      </c>
      <c r="L24" s="8" t="s">
        <v>1330</v>
      </c>
      <c r="M24" s="8" t="s">
        <v>1349</v>
      </c>
      <c r="N24" s="8" t="s">
        <v>1491</v>
      </c>
      <c r="O24" s="8" t="s">
        <v>1333</v>
      </c>
      <c r="P24" s="8" t="s">
        <v>1492</v>
      </c>
      <c r="Q24" s="8" t="s">
        <v>1335</v>
      </c>
      <c r="R24" s="8" t="s">
        <v>1336</v>
      </c>
      <c r="S24" s="8" t="s">
        <v>1337</v>
      </c>
      <c r="T24" s="8" t="s">
        <v>1493</v>
      </c>
      <c r="U24" s="8" t="s">
        <v>1494</v>
      </c>
      <c r="V24" s="8" t="s">
        <v>1495</v>
      </c>
      <c r="W24" s="8" t="s">
        <v>1496</v>
      </c>
      <c r="X24" s="8" t="s">
        <v>1497</v>
      </c>
      <c r="Y24" s="8" t="s">
        <v>304</v>
      </c>
      <c r="Z24" s="8" t="s">
        <v>1498</v>
      </c>
      <c r="AA24" s="8" t="s">
        <v>223</v>
      </c>
      <c r="AB24" s="8" t="s">
        <v>1344</v>
      </c>
      <c r="AC24" s="8"/>
      <c r="AD24" s="8"/>
      <c r="AE24" s="8" t="s">
        <v>1499</v>
      </c>
      <c r="AF24" s="8"/>
    </row>
    <row x14ac:dyDescent="0.25" r="25" customHeight="1" ht="102.5390625" customFormat="1" s="1">
      <c r="A25" s="8" t="s">
        <v>41</v>
      </c>
      <c r="B25" s="8" t="s">
        <v>553</v>
      </c>
      <c r="C25" s="8" t="s">
        <v>345</v>
      </c>
      <c r="D25" s="8" t="s">
        <v>256</v>
      </c>
      <c r="E25" s="8" t="s">
        <v>393</v>
      </c>
      <c r="F25" s="8" t="s">
        <v>258</v>
      </c>
      <c r="G25" s="8" t="s">
        <v>524</v>
      </c>
      <c r="H25" s="8" t="s">
        <v>1500</v>
      </c>
      <c r="I25" s="8" t="s">
        <v>1501</v>
      </c>
      <c r="J25" s="8" t="s">
        <v>1502</v>
      </c>
      <c r="K25" s="8" t="s">
        <v>1329</v>
      </c>
      <c r="L25" s="8" t="s">
        <v>1330</v>
      </c>
      <c r="M25" s="8" t="s">
        <v>1349</v>
      </c>
      <c r="N25" s="8" t="s">
        <v>1503</v>
      </c>
      <c r="O25" s="8" t="s">
        <v>1504</v>
      </c>
      <c r="P25" s="8" t="s">
        <v>1505</v>
      </c>
      <c r="Q25" s="8" t="s">
        <v>1506</v>
      </c>
      <c r="R25" s="8" t="s">
        <v>1336</v>
      </c>
      <c r="S25" s="8" t="s">
        <v>1507</v>
      </c>
      <c r="T25" s="8" t="s">
        <v>1508</v>
      </c>
      <c r="U25" s="8" t="s">
        <v>1509</v>
      </c>
      <c r="V25" s="8" t="s">
        <v>1510</v>
      </c>
      <c r="W25" s="8" t="s">
        <v>1511</v>
      </c>
      <c r="X25" s="8" t="s">
        <v>1512</v>
      </c>
      <c r="Y25" s="8" t="s">
        <v>836</v>
      </c>
      <c r="Z25" s="8" t="s">
        <v>1513</v>
      </c>
      <c r="AA25" s="8" t="s">
        <v>223</v>
      </c>
      <c r="AB25" s="8" t="s">
        <v>1344</v>
      </c>
      <c r="AC25" s="8"/>
      <c r="AD25" s="8"/>
      <c r="AE25" s="8" t="s">
        <v>1514</v>
      </c>
      <c r="AF2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1"/>
  <sheetViews>
    <sheetView workbookViewId="0" tabSelected="1"/>
  </sheetViews>
  <sheetFormatPr defaultRowHeight="15" x14ac:dyDescent="0.25"/>
  <cols>
    <col min="1" max="1" style="5" width="9.005" customWidth="1" bestFit="1"/>
    <col min="2" max="2" style="5" width="10.005" customWidth="1" bestFit="1"/>
    <col min="3" max="3" style="5" width="18.005" customWidth="1" bestFit="1"/>
    <col min="4" max="4" style="5" width="18.005" customWidth="1" bestFit="1"/>
    <col min="5" max="5" style="5" width="18.005" customWidth="1" bestFit="1"/>
    <col min="6" max="6" style="5" width="24.005" customWidth="1" bestFit="1"/>
    <col min="7" max="7" style="5" width="24.005" customWidth="1" bestFit="1"/>
    <col min="8" max="8" style="5" width="22.005" customWidth="1" bestFit="1"/>
    <col min="9" max="9" style="5" width="14.005" customWidth="1" bestFit="1"/>
    <col min="10" max="10" style="5" width="14.005" customWidth="1" bestFit="1"/>
    <col min="11" max="11" style="5" width="14.005" customWidth="1" bestFit="1"/>
    <col min="12" max="12" style="5" width="18.005" customWidth="1" bestFit="1"/>
    <col min="13" max="13" style="5" width="18.005" customWidth="1" bestFit="1"/>
    <col min="14" max="14" style="5" width="22.005" customWidth="1" bestFit="1"/>
    <col min="15" max="15" style="5" width="14.005" customWidth="1" bestFit="1"/>
  </cols>
  <sheetData>
    <row x14ac:dyDescent="0.25" r="1" customHeight="1" ht="34.1796875" customFormat="1" s="1">
      <c r="A1" s="2" t="s">
        <v>945</v>
      </c>
      <c r="B1" s="2" t="s">
        <v>1220</v>
      </c>
      <c r="C1" s="2" t="s">
        <v>946</v>
      </c>
      <c r="D1" s="2" t="s">
        <v>947</v>
      </c>
      <c r="E1" s="2" t="s">
        <v>1087</v>
      </c>
      <c r="F1" s="2" t="s">
        <v>950</v>
      </c>
      <c r="G1" s="2" t="s">
        <v>949</v>
      </c>
      <c r="H1" s="2" t="s">
        <v>948</v>
      </c>
      <c r="I1" s="2" t="s">
        <v>236</v>
      </c>
      <c r="J1" s="2" t="s">
        <v>1288</v>
      </c>
      <c r="K1" s="2" t="s">
        <v>1289</v>
      </c>
      <c r="L1" s="2" t="s">
        <v>1146</v>
      </c>
      <c r="M1" s="2" t="s">
        <v>1148</v>
      </c>
      <c r="N1" s="2" t="s">
        <v>1290</v>
      </c>
      <c r="O1" s="2" t="s">
        <v>1157</v>
      </c>
    </row>
    <row x14ac:dyDescent="0.25" r="2" customHeight="1" ht="34.1796875" customFormat="1" s="1">
      <c r="A2" s="3" t="s">
        <v>431</v>
      </c>
      <c r="B2" s="3" t="s">
        <v>69</v>
      </c>
      <c r="C2" s="3" t="s">
        <v>240</v>
      </c>
      <c r="D2" s="3" t="s">
        <v>408</v>
      </c>
      <c r="E2" s="3"/>
      <c r="F2" s="3" t="s">
        <v>239</v>
      </c>
      <c r="G2" s="3" t="s">
        <v>1013</v>
      </c>
      <c r="H2" s="3" t="s">
        <v>1019</v>
      </c>
      <c r="I2" s="3"/>
      <c r="J2" s="3"/>
      <c r="K2" s="3"/>
      <c r="L2" s="3"/>
      <c r="M2" s="3"/>
      <c r="N2" s="3" t="s">
        <v>281</v>
      </c>
      <c r="O2" s="3" t="s">
        <v>1284</v>
      </c>
    </row>
    <row x14ac:dyDescent="0.25" r="3" customHeight="1" ht="34.1796875" customFormat="1" s="1">
      <c r="A3" s="4" t="s">
        <v>438</v>
      </c>
      <c r="B3" s="4" t="s">
        <v>69</v>
      </c>
      <c r="C3" s="4" t="s">
        <v>240</v>
      </c>
      <c r="D3" s="4" t="s">
        <v>408</v>
      </c>
      <c r="E3" s="4"/>
      <c r="F3" s="4" t="s">
        <v>239</v>
      </c>
      <c r="G3" s="4" t="s">
        <v>1013</v>
      </c>
      <c r="H3" s="4" t="s">
        <v>1019</v>
      </c>
      <c r="I3" s="4"/>
      <c r="J3" s="4"/>
      <c r="K3" s="4"/>
      <c r="L3" s="4" t="s">
        <v>1291</v>
      </c>
      <c r="M3" s="4"/>
      <c r="N3" s="4" t="s">
        <v>281</v>
      </c>
      <c r="O3" s="4"/>
    </row>
    <row x14ac:dyDescent="0.25" r="4" customHeight="1" ht="34.1796875" customFormat="1" s="1">
      <c r="A4" s="3" t="s">
        <v>442</v>
      </c>
      <c r="B4" s="3" t="s">
        <v>60</v>
      </c>
      <c r="C4" s="3" t="s">
        <v>240</v>
      </c>
      <c r="D4" s="3" t="s">
        <v>408</v>
      </c>
      <c r="E4" s="3"/>
      <c r="F4" s="3" t="s">
        <v>239</v>
      </c>
      <c r="G4" s="3" t="s">
        <v>1013</v>
      </c>
      <c r="H4" s="3" t="s">
        <v>1019</v>
      </c>
      <c r="I4" s="3"/>
      <c r="J4" s="3"/>
      <c r="K4" s="3"/>
      <c r="L4" s="3"/>
      <c r="M4" s="3" t="s">
        <v>1291</v>
      </c>
      <c r="N4" s="3" t="s">
        <v>281</v>
      </c>
      <c r="O4" s="3"/>
    </row>
    <row x14ac:dyDescent="0.25" r="5" customHeight="1" ht="34.1796875" customFormat="1" s="1">
      <c r="A5" s="4" t="s">
        <v>446</v>
      </c>
      <c r="B5" s="4" t="s">
        <v>60</v>
      </c>
      <c r="C5" s="4" t="s">
        <v>240</v>
      </c>
      <c r="D5" s="4" t="s">
        <v>408</v>
      </c>
      <c r="E5" s="4"/>
      <c r="F5" s="4" t="s">
        <v>239</v>
      </c>
      <c r="G5" s="4" t="s">
        <v>1292</v>
      </c>
      <c r="H5" s="4" t="s">
        <v>1019</v>
      </c>
      <c r="I5" s="4"/>
      <c r="J5" s="4"/>
      <c r="K5" s="4"/>
      <c r="L5" s="4"/>
      <c r="M5" s="4"/>
      <c r="N5" s="4" t="s">
        <v>281</v>
      </c>
      <c r="O5" s="4"/>
    </row>
    <row x14ac:dyDescent="0.25" r="6" customHeight="1" ht="34.1796875" customFormat="1" s="1">
      <c r="A6" s="3" t="s">
        <v>450</v>
      </c>
      <c r="B6" s="3" t="s">
        <v>60</v>
      </c>
      <c r="C6" s="3" t="s">
        <v>240</v>
      </c>
      <c r="D6" s="3" t="s">
        <v>408</v>
      </c>
      <c r="E6" s="3"/>
      <c r="F6" s="3" t="s">
        <v>239</v>
      </c>
      <c r="G6" s="3" t="s">
        <v>1016</v>
      </c>
      <c r="H6" s="3" t="s">
        <v>1019</v>
      </c>
      <c r="I6" s="3"/>
      <c r="J6" s="3" t="s">
        <v>1291</v>
      </c>
      <c r="K6" s="3" t="s">
        <v>1291</v>
      </c>
      <c r="L6" s="3"/>
      <c r="M6" s="3"/>
      <c r="N6" s="3" t="s">
        <v>281</v>
      </c>
      <c r="O6" s="3"/>
    </row>
    <row x14ac:dyDescent="0.25" r="7" customHeight="1" ht="34.1796875" customFormat="1" s="1">
      <c r="A7" s="4" t="s">
        <v>454</v>
      </c>
      <c r="B7" s="4" t="s">
        <v>60</v>
      </c>
      <c r="C7" s="4" t="s">
        <v>240</v>
      </c>
      <c r="D7" s="4" t="s">
        <v>408</v>
      </c>
      <c r="E7" s="4"/>
      <c r="F7" s="4" t="s">
        <v>239</v>
      </c>
      <c r="G7" s="4" t="s">
        <v>1013</v>
      </c>
      <c r="H7" s="4" t="s">
        <v>1291</v>
      </c>
      <c r="I7" s="4"/>
      <c r="J7" s="4"/>
      <c r="K7" s="4"/>
      <c r="L7" s="4"/>
      <c r="M7" s="4"/>
      <c r="N7" s="4" t="s">
        <v>281</v>
      </c>
      <c r="O7" s="4" t="s">
        <v>1268</v>
      </c>
    </row>
    <row x14ac:dyDescent="0.25" r="8" customHeight="1" ht="34.1796875" customFormat="1" s="1">
      <c r="A8" s="3" t="s">
        <v>458</v>
      </c>
      <c r="B8" s="3" t="s">
        <v>60</v>
      </c>
      <c r="C8" s="3" t="s">
        <v>240</v>
      </c>
      <c r="D8" s="3" t="s">
        <v>408</v>
      </c>
      <c r="E8" s="3"/>
      <c r="F8" s="3" t="s">
        <v>239</v>
      </c>
      <c r="G8" s="3" t="s">
        <v>1013</v>
      </c>
      <c r="H8" s="3" t="s">
        <v>1291</v>
      </c>
      <c r="I8" s="3"/>
      <c r="J8" s="3"/>
      <c r="K8" s="3"/>
      <c r="L8" s="3"/>
      <c r="M8" s="3"/>
      <c r="N8" s="3" t="s">
        <v>281</v>
      </c>
      <c r="O8" s="3" t="s">
        <v>1270</v>
      </c>
    </row>
    <row x14ac:dyDescent="0.25" r="9" customHeight="1" ht="34.1796875" customFormat="1" s="1">
      <c r="A9" s="4" t="s">
        <v>462</v>
      </c>
      <c r="B9" s="4" t="s">
        <v>60</v>
      </c>
      <c r="C9" s="4" t="s">
        <v>240</v>
      </c>
      <c r="D9" s="4" t="s">
        <v>408</v>
      </c>
      <c r="E9" s="4"/>
      <c r="F9" s="4" t="s">
        <v>239</v>
      </c>
      <c r="G9" s="4" t="s">
        <v>1013</v>
      </c>
      <c r="H9" s="4" t="s">
        <v>1291</v>
      </c>
      <c r="I9" s="4"/>
      <c r="J9" s="4"/>
      <c r="K9" s="4"/>
      <c r="L9" s="4"/>
      <c r="M9" s="4"/>
      <c r="N9" s="4" t="s">
        <v>281</v>
      </c>
      <c r="O9" s="4" t="s">
        <v>1272</v>
      </c>
    </row>
    <row x14ac:dyDescent="0.25" r="10" customHeight="1" ht="34.1796875" customFormat="1" s="1">
      <c r="A10" s="3" t="s">
        <v>478</v>
      </c>
      <c r="B10" s="3" t="s">
        <v>60</v>
      </c>
      <c r="C10" s="3" t="s">
        <v>240</v>
      </c>
      <c r="D10" s="3" t="s">
        <v>408</v>
      </c>
      <c r="E10" s="3"/>
      <c r="F10" s="3" t="s">
        <v>239</v>
      </c>
      <c r="G10" s="3" t="s">
        <v>1013</v>
      </c>
      <c r="H10" s="3" t="s">
        <v>1019</v>
      </c>
      <c r="I10" s="3"/>
      <c r="J10" s="3"/>
      <c r="K10" s="3"/>
      <c r="L10" s="3"/>
      <c r="M10" s="3"/>
      <c r="N10" s="3" t="s">
        <v>241</v>
      </c>
      <c r="O10" s="3"/>
    </row>
    <row x14ac:dyDescent="0.25" r="11" customHeight="1" ht="34.1796875" customFormat="1" s="1">
      <c r="A11" s="4" t="s">
        <v>483</v>
      </c>
      <c r="B11" s="4" t="s">
        <v>60</v>
      </c>
      <c r="C11" s="4" t="s">
        <v>240</v>
      </c>
      <c r="D11" s="4" t="s">
        <v>408</v>
      </c>
      <c r="E11" s="4"/>
      <c r="F11" s="4" t="s">
        <v>239</v>
      </c>
      <c r="G11" s="4" t="s">
        <v>1013</v>
      </c>
      <c r="H11" s="4" t="s">
        <v>1293</v>
      </c>
      <c r="I11" s="4" t="s">
        <v>1294</v>
      </c>
      <c r="J11" s="4"/>
      <c r="K11" s="4"/>
      <c r="L11" s="4"/>
      <c r="M11" s="4"/>
      <c r="N11" s="4" t="s">
        <v>241</v>
      </c>
      <c r="O11" s="4"/>
    </row>
    <row x14ac:dyDescent="0.25" r="12" customHeight="1" ht="34.1796875" customFormat="1" s="1">
      <c r="A12" s="3" t="s">
        <v>486</v>
      </c>
      <c r="B12" s="3" t="s">
        <v>60</v>
      </c>
      <c r="C12" s="3" t="s">
        <v>240</v>
      </c>
      <c r="D12" s="3" t="s">
        <v>399</v>
      </c>
      <c r="E12" s="3"/>
      <c r="F12" s="3" t="s">
        <v>239</v>
      </c>
      <c r="G12" s="3" t="s">
        <v>1013</v>
      </c>
      <c r="H12" s="3" t="s">
        <v>1019</v>
      </c>
      <c r="I12" s="3"/>
      <c r="J12" s="3"/>
      <c r="K12" s="3"/>
      <c r="L12" s="3"/>
      <c r="M12" s="3"/>
      <c r="N12" s="3" t="s">
        <v>1295</v>
      </c>
      <c r="O12" s="3"/>
    </row>
    <row x14ac:dyDescent="0.25" r="13" customHeight="1" ht="34.1796875" customFormat="1" s="1">
      <c r="A13" s="4" t="s">
        <v>490</v>
      </c>
      <c r="B13" s="4" t="s">
        <v>60</v>
      </c>
      <c r="C13" s="4" t="s">
        <v>240</v>
      </c>
      <c r="D13" s="4" t="s">
        <v>408</v>
      </c>
      <c r="E13" s="4"/>
      <c r="F13" s="4" t="s">
        <v>239</v>
      </c>
      <c r="G13" s="4" t="s">
        <v>1013</v>
      </c>
      <c r="H13" s="4" t="s">
        <v>1019</v>
      </c>
      <c r="I13" s="4"/>
      <c r="J13" s="4"/>
      <c r="K13" s="4"/>
      <c r="L13" s="4" t="s">
        <v>1291</v>
      </c>
      <c r="M13" s="4" t="s">
        <v>1291</v>
      </c>
      <c r="N13" s="4" t="s">
        <v>281</v>
      </c>
      <c r="O13" s="4"/>
    </row>
    <row x14ac:dyDescent="0.25" r="14" customHeight="1" ht="34.1796875" customFormat="1" s="1">
      <c r="A14" s="3" t="s">
        <v>9</v>
      </c>
      <c r="B14" s="3" t="s">
        <v>69</v>
      </c>
      <c r="C14" s="3" t="s">
        <v>240</v>
      </c>
      <c r="D14" s="3" t="s">
        <v>408</v>
      </c>
      <c r="E14" s="3"/>
      <c r="F14" s="3" t="s">
        <v>239</v>
      </c>
      <c r="G14" s="3" t="s">
        <v>1013</v>
      </c>
      <c r="H14" s="3" t="s">
        <v>1019</v>
      </c>
      <c r="I14" s="3" t="s">
        <v>700</v>
      </c>
      <c r="J14" s="3"/>
      <c r="K14" s="3"/>
      <c r="L14" s="3"/>
      <c r="M14" s="3"/>
      <c r="N14" s="3" t="s">
        <v>241</v>
      </c>
      <c r="O14" s="3"/>
    </row>
    <row x14ac:dyDescent="0.25" r="15" customHeight="1" ht="34.1796875" customFormat="1" s="1">
      <c r="A15" s="4" t="s">
        <v>499</v>
      </c>
      <c r="B15" s="4" t="s">
        <v>60</v>
      </c>
      <c r="C15" s="4" t="s">
        <v>240</v>
      </c>
      <c r="D15" s="4" t="s">
        <v>408</v>
      </c>
      <c r="E15" s="4"/>
      <c r="F15" s="4" t="s">
        <v>239</v>
      </c>
      <c r="G15" s="4" t="s">
        <v>1016</v>
      </c>
      <c r="H15" s="4" t="s">
        <v>1019</v>
      </c>
      <c r="I15" s="4"/>
      <c r="J15" s="4" t="s">
        <v>700</v>
      </c>
      <c r="K15" s="4" t="s">
        <v>701</v>
      </c>
      <c r="L15" s="4"/>
      <c r="M15" s="4"/>
      <c r="N15" s="4" t="s">
        <v>241</v>
      </c>
      <c r="O15" s="4"/>
    </row>
    <row x14ac:dyDescent="0.25" r="16" customHeight="1" ht="34.1796875" customFormat="1" s="1">
      <c r="A16" s="3" t="s">
        <v>22</v>
      </c>
      <c r="B16" s="3" t="s">
        <v>60</v>
      </c>
      <c r="C16" s="3" t="s">
        <v>240</v>
      </c>
      <c r="D16" s="3" t="s">
        <v>408</v>
      </c>
      <c r="E16" s="3"/>
      <c r="F16" s="3" t="s">
        <v>1296</v>
      </c>
      <c r="G16" s="3" t="s">
        <v>1013</v>
      </c>
      <c r="H16" s="3" t="s">
        <v>1019</v>
      </c>
      <c r="I16" s="3"/>
      <c r="J16" s="3"/>
      <c r="K16" s="3"/>
      <c r="L16" s="3"/>
      <c r="M16" s="3"/>
      <c r="N16" s="3" t="s">
        <v>281</v>
      </c>
      <c r="O16" s="3"/>
    </row>
    <row x14ac:dyDescent="0.25" r="17" customHeight="1" ht="34.1796875" customFormat="1" s="1">
      <c r="A17" s="4" t="s">
        <v>513</v>
      </c>
      <c r="B17" s="4" t="s">
        <v>60</v>
      </c>
      <c r="C17" s="4" t="s">
        <v>240</v>
      </c>
      <c r="D17" s="4" t="s">
        <v>408</v>
      </c>
      <c r="E17" s="4"/>
      <c r="F17" s="4" t="s">
        <v>239</v>
      </c>
      <c r="G17" s="4" t="s">
        <v>1297</v>
      </c>
      <c r="H17" s="4" t="s">
        <v>1019</v>
      </c>
      <c r="I17" s="4"/>
      <c r="J17" s="4"/>
      <c r="K17" s="4"/>
      <c r="L17" s="4" t="s">
        <v>1298</v>
      </c>
      <c r="M17" s="4"/>
      <c r="N17" s="4" t="s">
        <v>281</v>
      </c>
      <c r="O17" s="4"/>
    </row>
    <row x14ac:dyDescent="0.25" r="18" customHeight="1" ht="34.1796875" customFormat="1" s="1">
      <c r="A18" s="3" t="s">
        <v>517</v>
      </c>
      <c r="B18" s="3" t="s">
        <v>60</v>
      </c>
      <c r="C18" s="3" t="s">
        <v>240</v>
      </c>
      <c r="D18" s="3" t="s">
        <v>408</v>
      </c>
      <c r="E18" s="3"/>
      <c r="F18" s="3" t="s">
        <v>239</v>
      </c>
      <c r="G18" s="3" t="s">
        <v>1299</v>
      </c>
      <c r="H18" s="3" t="s">
        <v>1019</v>
      </c>
      <c r="I18" s="3"/>
      <c r="J18" s="3"/>
      <c r="K18" s="3"/>
      <c r="L18" s="3"/>
      <c r="M18" s="3" t="s">
        <v>1300</v>
      </c>
      <c r="N18" s="3" t="s">
        <v>281</v>
      </c>
      <c r="O18" s="3"/>
    </row>
    <row x14ac:dyDescent="0.25" r="19" customHeight="1" ht="34.1796875" customFormat="1" s="1">
      <c r="A19" s="4" t="s">
        <v>35</v>
      </c>
      <c r="B19" s="4" t="s">
        <v>60</v>
      </c>
      <c r="C19" s="4" t="s">
        <v>240</v>
      </c>
      <c r="D19" s="4" t="s">
        <v>408</v>
      </c>
      <c r="E19" s="4"/>
      <c r="F19" s="4" t="s">
        <v>239</v>
      </c>
      <c r="G19" s="4" t="s">
        <v>1301</v>
      </c>
      <c r="H19" s="4" t="s">
        <v>1019</v>
      </c>
      <c r="I19" s="4"/>
      <c r="J19" s="4"/>
      <c r="K19" s="4"/>
      <c r="L19" s="4"/>
      <c r="M19" s="4"/>
      <c r="N19" s="4" t="s">
        <v>281</v>
      </c>
      <c r="O19" s="4" t="s">
        <v>1281</v>
      </c>
    </row>
    <row x14ac:dyDescent="0.25" r="20" customHeight="1" ht="34.1796875" customFormat="1" s="1">
      <c r="A20" s="3" t="s">
        <v>41</v>
      </c>
      <c r="B20" s="3" t="s">
        <v>60</v>
      </c>
      <c r="C20" s="3" t="s">
        <v>240</v>
      </c>
      <c r="D20" s="3" t="s">
        <v>408</v>
      </c>
      <c r="E20" s="3"/>
      <c r="F20" s="3" t="s">
        <v>239</v>
      </c>
      <c r="G20" s="3" t="s">
        <v>1013</v>
      </c>
      <c r="H20" s="3" t="s">
        <v>1019</v>
      </c>
      <c r="I20" s="3"/>
      <c r="J20" s="3"/>
      <c r="K20" s="3"/>
      <c r="L20" s="3"/>
      <c r="M20" s="3"/>
      <c r="N20" s="3" t="s">
        <v>1302</v>
      </c>
      <c r="O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x14ac:dyDescent="0.25" r="62" customHeight="1" ht="18.75" customFormat="1" s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x14ac:dyDescent="0.25" r="63" customHeight="1" ht="18.75" customFormat="1" s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x14ac:dyDescent="0.25" r="64" customHeight="1" ht="18.75" customFormat="1" s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x14ac:dyDescent="0.25" r="65" customHeight="1" ht="18.75" customFormat="1" s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x14ac:dyDescent="0.25" r="66" customHeight="1" ht="18.75" customFormat="1" s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x14ac:dyDescent="0.25" r="67" customHeight="1" ht="18.75" customFormat="1" s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x14ac:dyDescent="0.25" r="68" customHeight="1" ht="18.75" customFormat="1" s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x14ac:dyDescent="0.25" r="69" customHeight="1" ht="18.75" customFormat="1" s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x14ac:dyDescent="0.25" r="70" customHeight="1" ht="18.75" customFormat="1" s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x14ac:dyDescent="0.25" r="71" customHeight="1" ht="18.75" customFormat="1" s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x14ac:dyDescent="0.25" r="72" customHeight="1" ht="18.75" customFormat="1" s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x14ac:dyDescent="0.25" r="73" customHeight="1" ht="18.75" customFormat="1" s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x14ac:dyDescent="0.25" r="74" customHeight="1" ht="18.75" customFormat="1" s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x14ac:dyDescent="0.25" r="75" customHeight="1" ht="18.75" customFormat="1" s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x14ac:dyDescent="0.25" r="76" customHeight="1" ht="18.75" customFormat="1" s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x14ac:dyDescent="0.25" r="77" customHeight="1" ht="18.75" customFormat="1" s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x14ac:dyDescent="0.25" r="78" customHeight="1" ht="18.75" customFormat="1" s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x14ac:dyDescent="0.25" r="79" customHeight="1" ht="18.75" customFormat="1" s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x14ac:dyDescent="0.25" r="80" customHeight="1" ht="18.75" customFormat="1" s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x14ac:dyDescent="0.25" r="81" customHeight="1" ht="18.75" customFormat="1" s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1"/>
  <sheetViews>
    <sheetView workbookViewId="0"/>
  </sheetViews>
  <sheetFormatPr defaultRowHeight="15" x14ac:dyDescent="0.25"/>
  <cols>
    <col min="1" max="1" style="5" width="10.005" customWidth="1" bestFit="1"/>
    <col min="2" max="2" style="5" width="10.005" customWidth="1" bestFit="1"/>
    <col min="3" max="3" style="5" width="18.005" customWidth="1" bestFit="1"/>
    <col min="4" max="4" style="5" width="18.005" customWidth="1" bestFit="1"/>
    <col min="5" max="5" style="5" width="30.005" customWidth="1" bestFit="1"/>
    <col min="6" max="6" style="5" width="18.005" customWidth="1" bestFit="1"/>
    <col min="7" max="7" style="5" width="16.005" customWidth="1" bestFit="1"/>
    <col min="8" max="8" style="5" width="10.005" customWidth="1" bestFit="1"/>
    <col min="9" max="9" style="5" width="34.005" customWidth="1" bestFit="1"/>
  </cols>
  <sheetData>
    <row x14ac:dyDescent="0.25" r="1" customHeight="1" ht="18.75" customFormat="1" s="1">
      <c r="A1" s="42" t="s">
        <v>1261</v>
      </c>
      <c r="B1" s="7"/>
      <c r="C1" s="7"/>
      <c r="D1" s="7"/>
      <c r="E1" s="7"/>
      <c r="F1" s="7"/>
      <c r="G1" s="7"/>
      <c r="H1" s="7"/>
      <c r="I1" s="7"/>
    </row>
    <row x14ac:dyDescent="0.25" r="2" customHeight="1" ht="18.75" customFormat="1" s="1">
      <c r="A2" s="2" t="s">
        <v>1157</v>
      </c>
      <c r="B2" s="2" t="s">
        <v>1220</v>
      </c>
      <c r="C2" s="2" t="s">
        <v>1262</v>
      </c>
      <c r="D2" s="2" t="s">
        <v>1263</v>
      </c>
      <c r="E2" s="2" t="s">
        <v>1264</v>
      </c>
      <c r="F2" s="2" t="s">
        <v>1265</v>
      </c>
      <c r="G2" s="2" t="s">
        <v>1266</v>
      </c>
      <c r="H2" s="2" t="s">
        <v>1267</v>
      </c>
      <c r="I2" s="2" t="s">
        <v>953</v>
      </c>
    </row>
    <row x14ac:dyDescent="0.25" r="3" customHeight="1" ht="18.75" customFormat="1" s="1">
      <c r="A3" s="4" t="s">
        <v>1268</v>
      </c>
      <c r="B3" s="4" t="s">
        <v>60</v>
      </c>
      <c r="C3" s="4" t="s">
        <v>242</v>
      </c>
      <c r="D3" s="4" t="s">
        <v>948</v>
      </c>
      <c r="E3" s="4" t="s">
        <v>1152</v>
      </c>
      <c r="F3" s="4" t="s">
        <v>243</v>
      </c>
      <c r="G3" s="4" t="s">
        <v>982</v>
      </c>
      <c r="H3" s="4"/>
      <c r="I3" s="4" t="s">
        <v>1269</v>
      </c>
    </row>
    <row x14ac:dyDescent="0.25" r="4" customHeight="1" ht="18.75" customFormat="1" s="1">
      <c r="A4" s="3" t="s">
        <v>1270</v>
      </c>
      <c r="B4" s="3" t="s">
        <v>60</v>
      </c>
      <c r="C4" s="3" t="s">
        <v>242</v>
      </c>
      <c r="D4" s="3" t="s">
        <v>1154</v>
      </c>
      <c r="E4" s="3" t="s">
        <v>1155</v>
      </c>
      <c r="F4" s="3" t="s">
        <v>243</v>
      </c>
      <c r="G4" s="3" t="s">
        <v>982</v>
      </c>
      <c r="H4" s="3"/>
      <c r="I4" s="3" t="s">
        <v>1271</v>
      </c>
    </row>
    <row x14ac:dyDescent="0.25" r="5" customHeight="1" ht="18.75" customFormat="1" s="1">
      <c r="A5" s="4" t="s">
        <v>1272</v>
      </c>
      <c r="B5" s="4" t="s">
        <v>60</v>
      </c>
      <c r="C5" s="4" t="s">
        <v>1273</v>
      </c>
      <c r="D5" s="4" t="s">
        <v>1274</v>
      </c>
      <c r="E5" s="4" t="s">
        <v>1275</v>
      </c>
      <c r="F5" s="4" t="s">
        <v>243</v>
      </c>
      <c r="G5" s="4" t="s">
        <v>982</v>
      </c>
      <c r="H5" s="4" t="s">
        <v>1276</v>
      </c>
      <c r="I5" s="4" t="s">
        <v>1277</v>
      </c>
    </row>
    <row x14ac:dyDescent="0.25" r="6" customHeight="1" ht="18.75" customFormat="1" s="1">
      <c r="A6" s="3" t="s">
        <v>1272</v>
      </c>
      <c r="B6" s="3" t="s">
        <v>60</v>
      </c>
      <c r="C6" s="3" t="s">
        <v>1273</v>
      </c>
      <c r="D6" s="3" t="s">
        <v>1278</v>
      </c>
      <c r="E6" s="3" t="s">
        <v>1279</v>
      </c>
      <c r="F6" s="3" t="s">
        <v>243</v>
      </c>
      <c r="G6" s="3" t="s">
        <v>982</v>
      </c>
      <c r="H6" s="3" t="s">
        <v>1276</v>
      </c>
      <c r="I6" s="3" t="s">
        <v>1280</v>
      </c>
    </row>
    <row x14ac:dyDescent="0.25" r="7" customHeight="1" ht="18.75" customFormat="1" s="1">
      <c r="A7" s="4" t="s">
        <v>1281</v>
      </c>
      <c r="B7" s="4" t="s">
        <v>60</v>
      </c>
      <c r="C7" s="4" t="s">
        <v>242</v>
      </c>
      <c r="D7" s="4" t="s">
        <v>1164</v>
      </c>
      <c r="E7" s="4" t="s">
        <v>1282</v>
      </c>
      <c r="F7" s="4" t="s">
        <v>243</v>
      </c>
      <c r="G7" s="4" t="s">
        <v>982</v>
      </c>
      <c r="H7" s="4"/>
      <c r="I7" s="4" t="s">
        <v>1283</v>
      </c>
    </row>
    <row x14ac:dyDescent="0.25" r="8" customHeight="1" ht="18.75" customFormat="1" s="1">
      <c r="A8" s="3" t="s">
        <v>1284</v>
      </c>
      <c r="B8" s="3" t="s">
        <v>69</v>
      </c>
      <c r="C8" s="4" t="s">
        <v>242</v>
      </c>
      <c r="D8" s="3" t="s">
        <v>950</v>
      </c>
      <c r="E8" s="3" t="s">
        <v>1145</v>
      </c>
      <c r="F8" s="4" t="s">
        <v>243</v>
      </c>
      <c r="G8" s="4" t="s">
        <v>982</v>
      </c>
      <c r="H8" s="3"/>
      <c r="I8" s="3" t="s">
        <v>1285</v>
      </c>
    </row>
    <row x14ac:dyDescent="0.25" r="9" customHeight="1" ht="18.75" customFormat="1" s="1">
      <c r="A9" s="3" t="s">
        <v>1284</v>
      </c>
      <c r="B9" s="3" t="s">
        <v>69</v>
      </c>
      <c r="C9" s="4" t="s">
        <v>242</v>
      </c>
      <c r="D9" s="4" t="s">
        <v>236</v>
      </c>
      <c r="E9" s="4" t="s">
        <v>1286</v>
      </c>
      <c r="F9" s="4" t="s">
        <v>243</v>
      </c>
      <c r="G9" s="4" t="s">
        <v>982</v>
      </c>
      <c r="H9" s="4"/>
      <c r="I9" s="4" t="s">
        <v>1287</v>
      </c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61"/>
  <sheetViews>
    <sheetView workbookViewId="0"/>
  </sheetViews>
  <sheetFormatPr defaultRowHeight="15" x14ac:dyDescent="0.25"/>
  <cols>
    <col min="1" max="1" style="5" width="8.005" customWidth="1" bestFit="1"/>
    <col min="2" max="2" style="5" width="24.005" customWidth="1" bestFit="1"/>
    <col min="3" max="3" style="5" width="10.005" customWidth="1" bestFit="1"/>
    <col min="4" max="4" style="5" width="16.005" customWidth="1" bestFit="1"/>
    <col min="5" max="5" style="5" width="16.005" customWidth="1" bestFit="1"/>
    <col min="6" max="6" style="5" width="28.005" customWidth="1" bestFit="1"/>
    <col min="7" max="7" style="5" width="28.005" customWidth="1" bestFit="1"/>
    <col min="8" max="8" style="5" width="18.005" customWidth="1" bestFit="1"/>
    <col min="9" max="9" style="5" width="18.005" customWidth="1" bestFit="1"/>
    <col min="10" max="10" style="5" width="18.005" customWidth="1" bestFit="1"/>
    <col min="11" max="11" style="5" width="18.005" customWidth="1" bestFit="1"/>
    <col min="12" max="12" style="5" width="18.005" customWidth="1" bestFit="1"/>
    <col min="13" max="13" style="5" width="22.005" customWidth="1" bestFit="1"/>
    <col min="14" max="14" style="5" width="10.005" customWidth="1" bestFit="1"/>
    <col min="15" max="15" style="5" width="12.005" customWidth="1" bestFit="1"/>
    <col min="16" max="16" style="5" width="16.005" customWidth="1" bestFit="1"/>
    <col min="17" max="17" style="5" width="16.005" customWidth="1" bestFit="1"/>
    <col min="18" max="18" style="5" width="16.005" customWidth="1" bestFit="1"/>
    <col min="19" max="19" style="5" width="12.005" customWidth="1" bestFit="1"/>
    <col min="20" max="20" style="5" width="12.005" customWidth="1" bestFit="1"/>
    <col min="21" max="21" style="5" width="16.005" customWidth="1" bestFit="1"/>
    <col min="22" max="22" style="5" width="18.005" customWidth="1" bestFit="1"/>
    <col min="23" max="23" style="5" width="32.005" customWidth="1" bestFit="1"/>
  </cols>
  <sheetData>
    <row x14ac:dyDescent="0.25" r="1" customHeight="1" ht="136.71875" customFormat="1" s="1">
      <c r="A1" s="42" t="s">
        <v>1219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x14ac:dyDescent="0.25" r="2" customHeight="1" ht="51.26953125" customFormat="1" s="1">
      <c r="A2" s="2" t="s">
        <v>959</v>
      </c>
      <c r="B2" s="2" t="s">
        <v>1047</v>
      </c>
      <c r="C2" s="2" t="s">
        <v>1220</v>
      </c>
      <c r="D2" s="2" t="s">
        <v>1221</v>
      </c>
      <c r="E2" s="2" t="s">
        <v>1048</v>
      </c>
      <c r="F2" s="2" t="s">
        <v>1056</v>
      </c>
      <c r="G2" s="2" t="s">
        <v>1057</v>
      </c>
      <c r="H2" s="2" t="s">
        <v>946</v>
      </c>
      <c r="I2" s="2" t="s">
        <v>947</v>
      </c>
      <c r="J2" s="2" t="s">
        <v>1087</v>
      </c>
      <c r="K2" s="2" t="s">
        <v>978</v>
      </c>
      <c r="L2" s="2" t="s">
        <v>1064</v>
      </c>
      <c r="M2" s="2" t="s">
        <v>1065</v>
      </c>
      <c r="N2" s="2" t="s">
        <v>1066</v>
      </c>
      <c r="O2" s="2" t="s">
        <v>1067</v>
      </c>
      <c r="P2" s="2" t="s">
        <v>1068</v>
      </c>
      <c r="Q2" s="2" t="s">
        <v>1069</v>
      </c>
      <c r="R2" s="2" t="s">
        <v>1071</v>
      </c>
      <c r="S2" s="2" t="s">
        <v>1070</v>
      </c>
      <c r="T2" s="2" t="s">
        <v>1072</v>
      </c>
      <c r="U2" s="2" t="s">
        <v>1073</v>
      </c>
      <c r="V2" s="2" t="s">
        <v>1222</v>
      </c>
      <c r="W2" s="2" t="s">
        <v>953</v>
      </c>
    </row>
    <row x14ac:dyDescent="0.25" r="3" customHeight="1" ht="85.44921875" customFormat="1" s="1">
      <c r="A3" s="4" t="s">
        <v>1093</v>
      </c>
      <c r="B3" s="4" t="s">
        <v>1223</v>
      </c>
      <c r="C3" s="4" t="s">
        <v>60</v>
      </c>
      <c r="D3" s="4" t="s">
        <v>363</v>
      </c>
      <c r="E3" s="4" t="s">
        <v>245</v>
      </c>
      <c r="F3" s="4" t="s">
        <v>1224</v>
      </c>
      <c r="G3" s="4" t="s">
        <v>1225</v>
      </c>
      <c r="H3" s="4" t="s">
        <v>240</v>
      </c>
      <c r="I3" s="4" t="s">
        <v>408</v>
      </c>
      <c r="J3" s="4" t="s">
        <v>1226</v>
      </c>
      <c r="K3" s="4" t="s">
        <v>982</v>
      </c>
      <c r="L3" s="4" t="s">
        <v>1227</v>
      </c>
      <c r="M3" s="4" t="s">
        <v>1228</v>
      </c>
      <c r="N3" s="4" t="s">
        <v>60</v>
      </c>
      <c r="O3" s="4" t="s">
        <v>60</v>
      </c>
      <c r="P3" s="4" t="s">
        <v>287</v>
      </c>
      <c r="Q3" s="4" t="s">
        <v>288</v>
      </c>
      <c r="R3" s="4" t="s">
        <v>286</v>
      </c>
      <c r="S3" s="4" t="s">
        <v>286</v>
      </c>
      <c r="T3" s="4" t="s">
        <v>1229</v>
      </c>
      <c r="U3" s="4" t="s">
        <v>248</v>
      </c>
      <c r="V3" s="4" t="s">
        <v>1230</v>
      </c>
      <c r="W3" s="4" t="s">
        <v>1231</v>
      </c>
    </row>
    <row x14ac:dyDescent="0.25" r="4" customHeight="1" ht="68.359375" customFormat="1" s="1">
      <c r="A4" s="3" t="s">
        <v>1094</v>
      </c>
      <c r="B4" s="3" t="s">
        <v>1232</v>
      </c>
      <c r="C4" s="3" t="s">
        <v>60</v>
      </c>
      <c r="D4" s="3" t="s">
        <v>244</v>
      </c>
      <c r="E4" s="3" t="s">
        <v>253</v>
      </c>
      <c r="F4" s="3" t="s">
        <v>1233</v>
      </c>
      <c r="G4" s="3" t="s">
        <v>1234</v>
      </c>
      <c r="H4" s="3" t="s">
        <v>240</v>
      </c>
      <c r="I4" s="3" t="s">
        <v>408</v>
      </c>
      <c r="J4" s="3" t="s">
        <v>1235</v>
      </c>
      <c r="K4" s="3" t="s">
        <v>982</v>
      </c>
      <c r="L4" s="3" t="s">
        <v>1227</v>
      </c>
      <c r="M4" s="3" t="s">
        <v>1013</v>
      </c>
      <c r="N4" s="3" t="s">
        <v>60</v>
      </c>
      <c r="O4" s="3" t="s">
        <v>60</v>
      </c>
      <c r="P4" s="3" t="s">
        <v>287</v>
      </c>
      <c r="Q4" s="3" t="s">
        <v>288</v>
      </c>
      <c r="R4" s="3" t="s">
        <v>286</v>
      </c>
      <c r="S4" s="3" t="s">
        <v>286</v>
      </c>
      <c r="T4" s="3" t="s">
        <v>1229</v>
      </c>
      <c r="U4" s="3" t="s">
        <v>248</v>
      </c>
      <c r="V4" s="3" t="s">
        <v>1236</v>
      </c>
      <c r="W4" s="3" t="s">
        <v>1237</v>
      </c>
    </row>
    <row x14ac:dyDescent="0.25" r="5" customHeight="1" ht="85.44921875" customFormat="1" s="1">
      <c r="A5" s="4" t="s">
        <v>1095</v>
      </c>
      <c r="B5" s="4" t="s">
        <v>1238</v>
      </c>
      <c r="C5" s="4" t="s">
        <v>60</v>
      </c>
      <c r="D5" s="4" t="s">
        <v>244</v>
      </c>
      <c r="E5" s="4" t="s">
        <v>253</v>
      </c>
      <c r="F5" s="4" t="s">
        <v>1239</v>
      </c>
      <c r="G5" s="4" t="s">
        <v>1240</v>
      </c>
      <c r="H5" s="4" t="s">
        <v>240</v>
      </c>
      <c r="I5" s="4" t="s">
        <v>408</v>
      </c>
      <c r="J5" s="4" t="s">
        <v>1241</v>
      </c>
      <c r="K5" s="4" t="s">
        <v>982</v>
      </c>
      <c r="L5" s="4" t="s">
        <v>1227</v>
      </c>
      <c r="M5" s="4" t="s">
        <v>1016</v>
      </c>
      <c r="N5" s="4" t="s">
        <v>60</v>
      </c>
      <c r="O5" s="4" t="s">
        <v>60</v>
      </c>
      <c r="P5" s="4" t="s">
        <v>1242</v>
      </c>
      <c r="Q5" s="4" t="s">
        <v>288</v>
      </c>
      <c r="R5" s="4" t="s">
        <v>286</v>
      </c>
      <c r="S5" s="4" t="s">
        <v>286</v>
      </c>
      <c r="T5" s="4" t="s">
        <v>1128</v>
      </c>
      <c r="U5" s="4" t="s">
        <v>248</v>
      </c>
      <c r="V5" s="4" t="s">
        <v>1243</v>
      </c>
      <c r="W5" s="4" t="s">
        <v>1244</v>
      </c>
    </row>
    <row x14ac:dyDescent="0.25" r="6" customHeight="1" ht="102.5390625" customFormat="1" s="1">
      <c r="A6" s="3" t="s">
        <v>1099</v>
      </c>
      <c r="B6" s="3" t="s">
        <v>1245</v>
      </c>
      <c r="C6" s="3" t="s">
        <v>60</v>
      </c>
      <c r="D6" s="3" t="s">
        <v>363</v>
      </c>
      <c r="E6" s="3" t="s">
        <v>245</v>
      </c>
      <c r="F6" s="3" t="s">
        <v>1246</v>
      </c>
      <c r="G6" s="3" t="s">
        <v>1247</v>
      </c>
      <c r="H6" s="3" t="s">
        <v>240</v>
      </c>
      <c r="I6" s="3" t="s">
        <v>408</v>
      </c>
      <c r="J6" s="3" t="s">
        <v>1248</v>
      </c>
      <c r="K6" s="3" t="s">
        <v>982</v>
      </c>
      <c r="L6" s="3" t="s">
        <v>1249</v>
      </c>
      <c r="M6" s="3" t="s">
        <v>1250</v>
      </c>
      <c r="N6" s="3" t="s">
        <v>60</v>
      </c>
      <c r="O6" s="3" t="s">
        <v>60</v>
      </c>
      <c r="P6" s="3" t="s">
        <v>287</v>
      </c>
      <c r="Q6" s="3" t="s">
        <v>288</v>
      </c>
      <c r="R6" s="3" t="s">
        <v>286</v>
      </c>
      <c r="S6" s="3" t="s">
        <v>286</v>
      </c>
      <c r="T6" s="3" t="s">
        <v>1229</v>
      </c>
      <c r="U6" s="3" t="s">
        <v>248</v>
      </c>
      <c r="V6" s="3" t="s">
        <v>1251</v>
      </c>
      <c r="W6" s="3" t="s">
        <v>1252</v>
      </c>
    </row>
    <row x14ac:dyDescent="0.25" r="7" customHeight="1" ht="85.44921875" customFormat="1" s="1">
      <c r="A7" s="4" t="s">
        <v>1100</v>
      </c>
      <c r="B7" s="4" t="s">
        <v>1253</v>
      </c>
      <c r="C7" s="4" t="s">
        <v>60</v>
      </c>
      <c r="D7" s="4" t="s">
        <v>244</v>
      </c>
      <c r="E7" s="4" t="s">
        <v>245</v>
      </c>
      <c r="F7" s="4" t="s">
        <v>1254</v>
      </c>
      <c r="G7" s="4" t="s">
        <v>1255</v>
      </c>
      <c r="H7" s="4" t="s">
        <v>240</v>
      </c>
      <c r="I7" s="4" t="s">
        <v>408</v>
      </c>
      <c r="J7" s="4" t="s">
        <v>1256</v>
      </c>
      <c r="K7" s="4" t="s">
        <v>982</v>
      </c>
      <c r="L7" s="4" t="s">
        <v>1257</v>
      </c>
      <c r="M7" s="4" t="s">
        <v>1013</v>
      </c>
      <c r="N7" s="4" t="s">
        <v>60</v>
      </c>
      <c r="O7" s="4" t="s">
        <v>60</v>
      </c>
      <c r="P7" s="4" t="s">
        <v>1258</v>
      </c>
      <c r="Q7" s="4" t="s">
        <v>288</v>
      </c>
      <c r="R7" s="4" t="s">
        <v>286</v>
      </c>
      <c r="S7" s="4" t="s">
        <v>286</v>
      </c>
      <c r="T7" s="4" t="s">
        <v>1128</v>
      </c>
      <c r="U7" s="4" t="s">
        <v>248</v>
      </c>
      <c r="V7" s="4" t="s">
        <v>1259</v>
      </c>
      <c r="W7" s="4" t="s">
        <v>1260</v>
      </c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</sheetData>
  <mergeCells count="1">
    <mergeCell ref="A1:W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1"/>
  <sheetViews>
    <sheetView workbookViewId="0"/>
  </sheetViews>
  <sheetFormatPr defaultRowHeight="15" x14ac:dyDescent="0.25"/>
  <cols>
    <col min="1" max="1" style="5" width="8.005" customWidth="1" bestFit="1"/>
    <col min="2" max="2" style="5" width="16.005" customWidth="1" bestFit="1"/>
    <col min="3" max="3" style="5" width="16.005" customWidth="1" bestFit="1"/>
    <col min="4" max="4" style="5" width="16.005" customWidth="1" bestFit="1"/>
    <col min="5" max="5" style="5" width="16.005" customWidth="1" bestFit="1"/>
    <col min="6" max="6" style="5" width="16.005" customWidth="1" bestFit="1"/>
    <col min="7" max="7" style="5" width="16.005" customWidth="1" bestFit="1"/>
    <col min="8" max="8" style="5" width="16.005" customWidth="1" bestFit="1"/>
    <col min="9" max="9" style="5" width="16.005" customWidth="1" bestFit="1"/>
    <col min="10" max="10" style="5" width="16.005" customWidth="1" bestFit="1"/>
    <col min="11" max="11" style="5" width="16.005" customWidth="1" bestFit="1"/>
    <col min="12" max="12" style="5" width="16.005" customWidth="1" bestFit="1"/>
    <col min="13" max="13" style="5" width="40.005" customWidth="1" bestFit="1"/>
  </cols>
  <sheetData>
    <row x14ac:dyDescent="0.25" r="1" customHeight="1" ht="18.75" customFormat="1" s="1">
      <c r="A1" s="42" t="s">
        <v>1196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x14ac:dyDescent="0.25" r="2" customHeight="1" ht="18.75" customFormat="1" s="1">
      <c r="A2" s="2" t="s">
        <v>959</v>
      </c>
      <c r="B2" s="2" t="s">
        <v>1197</v>
      </c>
      <c r="C2" s="2" t="s">
        <v>1198</v>
      </c>
      <c r="D2" s="2" t="s">
        <v>1199</v>
      </c>
      <c r="E2" s="2" t="s">
        <v>1200</v>
      </c>
      <c r="F2" s="2" t="s">
        <v>1201</v>
      </c>
      <c r="G2" s="2" t="s">
        <v>1202</v>
      </c>
      <c r="H2" s="2" t="s">
        <v>1203</v>
      </c>
      <c r="I2" s="2" t="s">
        <v>1204</v>
      </c>
      <c r="J2" s="2" t="s">
        <v>1205</v>
      </c>
      <c r="K2" s="2" t="s">
        <v>1206</v>
      </c>
      <c r="L2" s="2" t="s">
        <v>1207</v>
      </c>
      <c r="M2" s="2" t="s">
        <v>1208</v>
      </c>
    </row>
    <row x14ac:dyDescent="0.25" r="3" customHeight="1" ht="18.75" customFormat="1" s="1">
      <c r="A3" s="4" t="s">
        <v>1093</v>
      </c>
      <c r="B3" s="4" t="s">
        <v>69</v>
      </c>
      <c r="C3" s="4" t="s">
        <v>69</v>
      </c>
      <c r="D3" s="4" t="s">
        <v>69</v>
      </c>
      <c r="E3" s="4" t="s">
        <v>69</v>
      </c>
      <c r="F3" s="4" t="s">
        <v>69</v>
      </c>
      <c r="G3" s="4" t="s">
        <v>69</v>
      </c>
      <c r="H3" s="4" t="s">
        <v>69</v>
      </c>
      <c r="I3" s="4" t="s">
        <v>1209</v>
      </c>
      <c r="J3" s="4" t="s">
        <v>60</v>
      </c>
      <c r="K3" s="4" t="s">
        <v>69</v>
      </c>
      <c r="L3" s="4" t="s">
        <v>60</v>
      </c>
      <c r="M3" s="4" t="s">
        <v>1210</v>
      </c>
    </row>
    <row x14ac:dyDescent="0.25" r="4" customHeight="1" ht="18.75" customFormat="1" s="1">
      <c r="A4" s="3" t="s">
        <v>1094</v>
      </c>
      <c r="B4" s="3" t="s">
        <v>69</v>
      </c>
      <c r="C4" s="3" t="s">
        <v>69</v>
      </c>
      <c r="D4" s="3" t="s">
        <v>69</v>
      </c>
      <c r="E4" s="3" t="s">
        <v>69</v>
      </c>
      <c r="F4" s="3" t="s">
        <v>69</v>
      </c>
      <c r="G4" s="3" t="s">
        <v>69</v>
      </c>
      <c r="H4" s="3" t="s">
        <v>69</v>
      </c>
      <c r="I4" s="3" t="s">
        <v>1211</v>
      </c>
      <c r="J4" s="3" t="s">
        <v>60</v>
      </c>
      <c r="K4" s="3" t="s">
        <v>69</v>
      </c>
      <c r="L4" s="3" t="s">
        <v>69</v>
      </c>
      <c r="M4" s="3" t="s">
        <v>1212</v>
      </c>
    </row>
    <row x14ac:dyDescent="0.25" r="5" customHeight="1" ht="18.75" customFormat="1" s="1">
      <c r="A5" s="4" t="s">
        <v>1095</v>
      </c>
      <c r="B5" s="4" t="s">
        <v>69</v>
      </c>
      <c r="C5" s="4" t="s">
        <v>69</v>
      </c>
      <c r="D5" s="4" t="s">
        <v>69</v>
      </c>
      <c r="E5" s="4" t="s">
        <v>69</v>
      </c>
      <c r="F5" s="4" t="s">
        <v>69</v>
      </c>
      <c r="G5" s="4" t="s">
        <v>69</v>
      </c>
      <c r="H5" s="4" t="s">
        <v>69</v>
      </c>
      <c r="I5" s="4" t="s">
        <v>1213</v>
      </c>
      <c r="J5" s="4" t="s">
        <v>60</v>
      </c>
      <c r="K5" s="4" t="s">
        <v>69</v>
      </c>
      <c r="L5" s="4" t="s">
        <v>69</v>
      </c>
      <c r="M5" s="4" t="s">
        <v>1214</v>
      </c>
    </row>
    <row x14ac:dyDescent="0.25" r="6" customHeight="1" ht="18.75" customFormat="1" s="1">
      <c r="A6" s="3" t="s">
        <v>1099</v>
      </c>
      <c r="B6" s="3" t="s">
        <v>69</v>
      </c>
      <c r="C6" s="3" t="s">
        <v>69</v>
      </c>
      <c r="D6" s="3" t="s">
        <v>69</v>
      </c>
      <c r="E6" s="3" t="s">
        <v>69</v>
      </c>
      <c r="F6" s="3" t="s">
        <v>69</v>
      </c>
      <c r="G6" s="3" t="s">
        <v>69</v>
      </c>
      <c r="H6" s="3" t="s">
        <v>69</v>
      </c>
      <c r="I6" s="3" t="s">
        <v>1215</v>
      </c>
      <c r="J6" s="3" t="s">
        <v>60</v>
      </c>
      <c r="K6" s="3" t="s">
        <v>69</v>
      </c>
      <c r="L6" s="3" t="s">
        <v>69</v>
      </c>
      <c r="M6" s="3" t="s">
        <v>1216</v>
      </c>
    </row>
    <row x14ac:dyDescent="0.25" r="7" customHeight="1" ht="18.75" customFormat="1" s="1">
      <c r="A7" s="4" t="s">
        <v>1100</v>
      </c>
      <c r="B7" s="4" t="s">
        <v>69</v>
      </c>
      <c r="C7" s="4" t="s">
        <v>69</v>
      </c>
      <c r="D7" s="4" t="s">
        <v>69</v>
      </c>
      <c r="E7" s="4" t="s">
        <v>69</v>
      </c>
      <c r="F7" s="4" t="s">
        <v>69</v>
      </c>
      <c r="G7" s="4" t="s">
        <v>69</v>
      </c>
      <c r="H7" s="4" t="s">
        <v>60</v>
      </c>
      <c r="I7" s="4" t="s">
        <v>1217</v>
      </c>
      <c r="J7" s="4" t="s">
        <v>60</v>
      </c>
      <c r="K7" s="4" t="s">
        <v>69</v>
      </c>
      <c r="L7" s="4" t="s">
        <v>69</v>
      </c>
      <c r="M7" s="4" t="s">
        <v>1218</v>
      </c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1"/>
  <sheetViews>
    <sheetView workbookViewId="0"/>
  </sheetViews>
  <sheetFormatPr defaultRowHeight="15" x14ac:dyDescent="0.25"/>
  <cols>
    <col min="1" max="1" style="5" width="8.005" customWidth="1" bestFit="1"/>
    <col min="2" max="2" style="5" width="28.005" customWidth="1" bestFit="1"/>
    <col min="3" max="3" style="5" width="28.005" customWidth="1" bestFit="1"/>
    <col min="4" max="4" style="5" width="18.005" customWidth="1" bestFit="1"/>
    <col min="5" max="5" style="5" width="18.005" customWidth="1" bestFit="1"/>
    <col min="6" max="6" style="5" width="18.005" customWidth="1" bestFit="1"/>
    <col min="7" max="7" style="5" width="18.005" customWidth="1" bestFit="1"/>
    <col min="8" max="8" style="5" width="32.005" customWidth="1" bestFit="1"/>
    <col min="9" max="9" style="5" width="28.005" customWidth="1" bestFit="1"/>
  </cols>
  <sheetData>
    <row x14ac:dyDescent="0.25" r="1" customHeight="1" ht="18.75" customFormat="1" s="1">
      <c r="A1" s="42" t="s">
        <v>1167</v>
      </c>
      <c r="B1" s="7"/>
      <c r="C1" s="7"/>
      <c r="D1" s="7"/>
      <c r="E1" s="7"/>
      <c r="F1" s="7"/>
      <c r="G1" s="7"/>
      <c r="H1" s="7"/>
      <c r="I1" s="7"/>
    </row>
    <row x14ac:dyDescent="0.25" r="2" customHeight="1" ht="18.75" customFormat="1" s="1">
      <c r="A2" s="2" t="s">
        <v>959</v>
      </c>
      <c r="B2" s="2" t="s">
        <v>1168</v>
      </c>
      <c r="C2" s="2" t="s">
        <v>1169</v>
      </c>
      <c r="D2" s="2" t="s">
        <v>1170</v>
      </c>
      <c r="E2" s="2" t="s">
        <v>1171</v>
      </c>
      <c r="F2" s="2" t="s">
        <v>1172</v>
      </c>
      <c r="G2" s="2" t="s">
        <v>1173</v>
      </c>
      <c r="H2" s="2" t="s">
        <v>1174</v>
      </c>
      <c r="I2" s="2" t="s">
        <v>953</v>
      </c>
    </row>
    <row x14ac:dyDescent="0.25" r="3" customHeight="1" ht="18.75" customFormat="1" s="1">
      <c r="A3" s="4" t="s">
        <v>1093</v>
      </c>
      <c r="B3" s="4" t="s">
        <v>1175</v>
      </c>
      <c r="C3" s="4" t="s">
        <v>1176</v>
      </c>
      <c r="D3" s="4" t="s">
        <v>236</v>
      </c>
      <c r="E3" s="4" t="s">
        <v>334</v>
      </c>
      <c r="F3" s="4" t="s">
        <v>294</v>
      </c>
      <c r="G3" s="4" t="s">
        <v>336</v>
      </c>
      <c r="H3" s="4" t="s">
        <v>1177</v>
      </c>
      <c r="I3" s="4" t="s">
        <v>1178</v>
      </c>
    </row>
    <row x14ac:dyDescent="0.25" r="4" customHeight="1" ht="18.75" customFormat="1" s="1">
      <c r="A4" s="3" t="s">
        <v>1094</v>
      </c>
      <c r="B4" s="3" t="s">
        <v>1179</v>
      </c>
      <c r="C4" s="3" t="s">
        <v>1180</v>
      </c>
      <c r="D4" s="3" t="s">
        <v>236</v>
      </c>
      <c r="E4" s="3" t="s">
        <v>334</v>
      </c>
      <c r="F4" s="3" t="s">
        <v>247</v>
      </c>
      <c r="G4" s="3" t="s">
        <v>336</v>
      </c>
      <c r="H4" s="3" t="s">
        <v>1181</v>
      </c>
      <c r="I4" s="3" t="s">
        <v>1182</v>
      </c>
    </row>
    <row x14ac:dyDescent="0.25" r="5" customHeight="1" ht="18.75" customFormat="1" s="1">
      <c r="A5" s="4" t="s">
        <v>1095</v>
      </c>
      <c r="B5" s="4" t="s">
        <v>1183</v>
      </c>
      <c r="C5" s="4" t="s">
        <v>1184</v>
      </c>
      <c r="D5" s="4" t="s">
        <v>387</v>
      </c>
      <c r="E5" s="4" t="s">
        <v>334</v>
      </c>
      <c r="F5" s="4" t="s">
        <v>247</v>
      </c>
      <c r="G5" s="4" t="s">
        <v>336</v>
      </c>
      <c r="H5" s="4" t="s">
        <v>1185</v>
      </c>
      <c r="I5" s="4" t="s">
        <v>1186</v>
      </c>
    </row>
    <row x14ac:dyDescent="0.25" r="6" customHeight="1" ht="18.75" customFormat="1" s="1">
      <c r="A6" s="3" t="s">
        <v>1099</v>
      </c>
      <c r="B6" s="3" t="s">
        <v>1187</v>
      </c>
      <c r="C6" s="3" t="s">
        <v>1188</v>
      </c>
      <c r="D6" s="3" t="s">
        <v>236</v>
      </c>
      <c r="E6" s="3" t="s">
        <v>369</v>
      </c>
      <c r="F6" s="3" t="s">
        <v>294</v>
      </c>
      <c r="G6" s="3" t="s">
        <v>336</v>
      </c>
      <c r="H6" s="3" t="s">
        <v>1189</v>
      </c>
      <c r="I6" s="3" t="s">
        <v>1190</v>
      </c>
    </row>
    <row x14ac:dyDescent="0.25" r="7" customHeight="1" ht="18.75" customFormat="1" s="1">
      <c r="A7" s="4" t="s">
        <v>1100</v>
      </c>
      <c r="B7" s="4" t="s">
        <v>1191</v>
      </c>
      <c r="C7" s="4" t="s">
        <v>1192</v>
      </c>
      <c r="D7" s="4" t="s">
        <v>250</v>
      </c>
      <c r="E7" s="4" t="s">
        <v>247</v>
      </c>
      <c r="F7" s="4" t="s">
        <v>247</v>
      </c>
      <c r="G7" s="4" t="s">
        <v>1193</v>
      </c>
      <c r="H7" s="4" t="s">
        <v>1194</v>
      </c>
      <c r="I7" s="4" t="s">
        <v>1195</v>
      </c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1"/>
  <sheetViews>
    <sheetView workbookViewId="0"/>
  </sheetViews>
  <sheetFormatPr defaultRowHeight="15" x14ac:dyDescent="0.25"/>
  <cols>
    <col min="1" max="1" style="5" width="8.005" customWidth="1" bestFit="1"/>
    <col min="2" max="2" style="5" width="18.005" customWidth="1" bestFit="1"/>
    <col min="3" max="3" style="5" width="18.005" customWidth="1" bestFit="1"/>
    <col min="4" max="4" style="5" width="18.005" customWidth="1" bestFit="1"/>
    <col min="5" max="5" style="5" width="14.005" customWidth="1" bestFit="1"/>
    <col min="6" max="6" style="5" width="34.005" customWidth="1" bestFit="1"/>
  </cols>
  <sheetData>
    <row x14ac:dyDescent="0.25" r="1" customHeight="1" ht="18.75" customFormat="1" s="1">
      <c r="A1" s="42" t="s">
        <v>1140</v>
      </c>
      <c r="B1" s="7"/>
      <c r="C1" s="7"/>
      <c r="D1" s="7"/>
      <c r="E1" s="7"/>
      <c r="F1" s="7"/>
    </row>
    <row x14ac:dyDescent="0.25" r="2" customHeight="1" ht="18.75" customFormat="1" s="1">
      <c r="A2" s="2" t="s">
        <v>959</v>
      </c>
      <c r="B2" s="2" t="s">
        <v>1141</v>
      </c>
      <c r="C2" s="2" t="s">
        <v>1142</v>
      </c>
      <c r="D2" s="2" t="s">
        <v>1133</v>
      </c>
      <c r="E2" s="2" t="s">
        <v>1143</v>
      </c>
      <c r="F2" s="2" t="s">
        <v>1144</v>
      </c>
    </row>
    <row x14ac:dyDescent="0.25" r="3" customHeight="1" ht="18.75" customFormat="1" s="1">
      <c r="A3" s="4" t="s">
        <v>1093</v>
      </c>
      <c r="B3" s="4" t="s">
        <v>950</v>
      </c>
      <c r="C3" s="4" t="s">
        <v>240</v>
      </c>
      <c r="D3" s="4" t="s">
        <v>950</v>
      </c>
      <c r="E3" s="4" t="s">
        <v>246</v>
      </c>
      <c r="F3" s="4" t="s">
        <v>1145</v>
      </c>
    </row>
    <row x14ac:dyDescent="0.25" r="4" customHeight="1" ht="18.75" customFormat="1" s="1">
      <c r="A4" s="3" t="s">
        <v>1093</v>
      </c>
      <c r="B4" s="3" t="s">
        <v>1112</v>
      </c>
      <c r="C4" s="3" t="s">
        <v>240</v>
      </c>
      <c r="D4" s="3" t="s">
        <v>1146</v>
      </c>
      <c r="E4" s="3" t="s">
        <v>246</v>
      </c>
      <c r="F4" s="3" t="s">
        <v>1147</v>
      </c>
    </row>
    <row x14ac:dyDescent="0.25" r="5" customHeight="1" ht="18.75" customFormat="1" s="1">
      <c r="A5" s="4" t="s">
        <v>1093</v>
      </c>
      <c r="B5" s="4" t="s">
        <v>1116</v>
      </c>
      <c r="C5" s="4" t="s">
        <v>240</v>
      </c>
      <c r="D5" s="4" t="s">
        <v>1148</v>
      </c>
      <c r="E5" s="4" t="s">
        <v>246</v>
      </c>
      <c r="F5" s="4" t="s">
        <v>1149</v>
      </c>
    </row>
    <row x14ac:dyDescent="0.25" r="6" customHeight="1" ht="18.75" customFormat="1" s="1">
      <c r="A6" s="3" t="s">
        <v>1093</v>
      </c>
      <c r="B6" s="3" t="s">
        <v>1109</v>
      </c>
      <c r="C6" s="3" t="s">
        <v>408</v>
      </c>
      <c r="D6" s="3" t="s">
        <v>949</v>
      </c>
      <c r="E6" s="3" t="s">
        <v>246</v>
      </c>
      <c r="F6" s="3" t="s">
        <v>1150</v>
      </c>
    </row>
    <row x14ac:dyDescent="0.25" r="7" customHeight="1" ht="18.75" customFormat="1" s="1">
      <c r="A7" s="4" t="s">
        <v>1093</v>
      </c>
      <c r="B7" s="4" t="s">
        <v>1151</v>
      </c>
      <c r="C7" s="4" t="s">
        <v>408</v>
      </c>
      <c r="D7" s="4" t="s">
        <v>948</v>
      </c>
      <c r="E7" s="4" t="s">
        <v>246</v>
      </c>
      <c r="F7" s="4" t="s">
        <v>1152</v>
      </c>
    </row>
    <row x14ac:dyDescent="0.25" r="8" customHeight="1" ht="18.75" customFormat="1" s="1">
      <c r="A8" s="3" t="s">
        <v>1093</v>
      </c>
      <c r="B8" s="3" t="s">
        <v>1153</v>
      </c>
      <c r="C8" s="3" t="s">
        <v>408</v>
      </c>
      <c r="D8" s="3" t="s">
        <v>1154</v>
      </c>
      <c r="E8" s="3" t="s">
        <v>246</v>
      </c>
      <c r="F8" s="3" t="s">
        <v>1155</v>
      </c>
    </row>
    <row x14ac:dyDescent="0.25" r="9" customHeight="1" ht="18.75" customFormat="1" s="1">
      <c r="A9" s="4" t="s">
        <v>1093</v>
      </c>
      <c r="B9" s="4" t="s">
        <v>1156</v>
      </c>
      <c r="C9" s="4" t="s">
        <v>408</v>
      </c>
      <c r="D9" s="4" t="s">
        <v>1157</v>
      </c>
      <c r="E9" s="4" t="s">
        <v>246</v>
      </c>
      <c r="F9" s="4" t="s">
        <v>1158</v>
      </c>
    </row>
    <row x14ac:dyDescent="0.25" r="10" customHeight="1" ht="18.75" customFormat="1" s="1">
      <c r="A10" s="3" t="s">
        <v>1099</v>
      </c>
      <c r="B10" s="3" t="s">
        <v>1118</v>
      </c>
      <c r="C10" s="3" t="s">
        <v>240</v>
      </c>
      <c r="D10" s="3" t="s">
        <v>950</v>
      </c>
      <c r="E10" s="3" t="s">
        <v>246</v>
      </c>
      <c r="F10" s="3" t="s">
        <v>1159</v>
      </c>
    </row>
    <row x14ac:dyDescent="0.25" r="11" customHeight="1" ht="18.75" customFormat="1" s="1">
      <c r="A11" s="4" t="s">
        <v>1099</v>
      </c>
      <c r="B11" s="4" t="s">
        <v>1123</v>
      </c>
      <c r="C11" s="4" t="s">
        <v>240</v>
      </c>
      <c r="D11" s="4" t="s">
        <v>1160</v>
      </c>
      <c r="E11" s="4" t="s">
        <v>246</v>
      </c>
      <c r="F11" s="4" t="s">
        <v>1161</v>
      </c>
    </row>
    <row x14ac:dyDescent="0.25" r="12" customHeight="1" ht="18.75" customFormat="1" s="1">
      <c r="A12" s="3" t="s">
        <v>1099</v>
      </c>
      <c r="B12" s="3" t="s">
        <v>919</v>
      </c>
      <c r="C12" s="3" t="s">
        <v>240</v>
      </c>
      <c r="D12" s="3" t="s">
        <v>1146</v>
      </c>
      <c r="E12" s="3" t="s">
        <v>246</v>
      </c>
      <c r="F12" s="3" t="s">
        <v>1162</v>
      </c>
    </row>
    <row x14ac:dyDescent="0.25" r="13" customHeight="1" ht="18.75" customFormat="1" s="1">
      <c r="A13" s="4" t="s">
        <v>1099</v>
      </c>
      <c r="B13" s="4" t="s">
        <v>927</v>
      </c>
      <c r="C13" s="4" t="s">
        <v>240</v>
      </c>
      <c r="D13" s="4" t="s">
        <v>1148</v>
      </c>
      <c r="E13" s="4" t="s">
        <v>246</v>
      </c>
      <c r="F13" s="4" t="s">
        <v>1163</v>
      </c>
    </row>
    <row x14ac:dyDescent="0.25" r="14" customHeight="1" ht="18.75" customFormat="1" s="1">
      <c r="A14" s="3" t="s">
        <v>1099</v>
      </c>
      <c r="B14" s="3" t="s">
        <v>1164</v>
      </c>
      <c r="C14" s="3" t="s">
        <v>240</v>
      </c>
      <c r="D14" s="3" t="s">
        <v>1160</v>
      </c>
      <c r="E14" s="3" t="s">
        <v>246</v>
      </c>
      <c r="F14" s="3" t="s">
        <v>1165</v>
      </c>
    </row>
    <row x14ac:dyDescent="0.25" r="15" customHeight="1" ht="18.75" customFormat="1" s="1">
      <c r="A15" s="4" t="s">
        <v>1100</v>
      </c>
      <c r="B15" s="4" t="s">
        <v>1127</v>
      </c>
      <c r="C15" s="4" t="s">
        <v>408</v>
      </c>
      <c r="D15" s="4" t="s">
        <v>1091</v>
      </c>
      <c r="E15" s="4" t="s">
        <v>246</v>
      </c>
      <c r="F15" s="4" t="s">
        <v>1166</v>
      </c>
    </row>
    <row x14ac:dyDescent="0.25" r="16" customHeight="1" ht="18.75" customFormat="1" s="1">
      <c r="A16" s="3"/>
      <c r="B16" s="3"/>
      <c r="C16" s="3"/>
      <c r="D16" s="3"/>
      <c r="E16" s="3"/>
      <c r="F16" s="3"/>
    </row>
    <row x14ac:dyDescent="0.25" r="17" customHeight="1" ht="18.75" customFormat="1" s="1">
      <c r="A17" s="4"/>
      <c r="B17" s="4"/>
      <c r="C17" s="4"/>
      <c r="D17" s="4"/>
      <c r="E17" s="4"/>
      <c r="F17" s="4"/>
    </row>
    <row x14ac:dyDescent="0.25" r="18" customHeight="1" ht="18.75" customFormat="1" s="1">
      <c r="A18" s="3"/>
      <c r="B18" s="3"/>
      <c r="C18" s="3"/>
      <c r="D18" s="3"/>
      <c r="E18" s="3"/>
      <c r="F18" s="3"/>
    </row>
    <row x14ac:dyDescent="0.25" r="19" customHeight="1" ht="18.75" customFormat="1" s="1">
      <c r="A19" s="4"/>
      <c r="B19" s="4"/>
      <c r="C19" s="4"/>
      <c r="D19" s="4"/>
      <c r="E19" s="4"/>
      <c r="F19" s="4"/>
    </row>
    <row x14ac:dyDescent="0.25" r="20" customHeight="1" ht="18.75" customFormat="1" s="1">
      <c r="A20" s="3"/>
      <c r="B20" s="3"/>
      <c r="C20" s="3"/>
      <c r="D20" s="3"/>
      <c r="E20" s="3"/>
      <c r="F20" s="3"/>
    </row>
    <row x14ac:dyDescent="0.25" r="21" customHeight="1" ht="18.75" customFormat="1" s="1">
      <c r="A21" s="4"/>
      <c r="B21" s="4"/>
      <c r="C21" s="4"/>
      <c r="D21" s="4"/>
      <c r="E21" s="4"/>
      <c r="F21" s="4"/>
    </row>
    <row x14ac:dyDescent="0.25" r="22" customHeight="1" ht="18.75" customFormat="1" s="1">
      <c r="A22" s="3"/>
      <c r="B22" s="3"/>
      <c r="C22" s="3"/>
      <c r="D22" s="3"/>
      <c r="E22" s="3"/>
      <c r="F22" s="3"/>
    </row>
    <row x14ac:dyDescent="0.25" r="23" customHeight="1" ht="18.75" customFormat="1" s="1">
      <c r="A23" s="4"/>
      <c r="B23" s="4"/>
      <c r="C23" s="4"/>
      <c r="D23" s="4"/>
      <c r="E23" s="4"/>
      <c r="F23" s="4"/>
    </row>
    <row x14ac:dyDescent="0.25" r="24" customHeight="1" ht="18.75" customFormat="1" s="1">
      <c r="A24" s="3"/>
      <c r="B24" s="3"/>
      <c r="C24" s="3"/>
      <c r="D24" s="3"/>
      <c r="E24" s="3"/>
      <c r="F24" s="3"/>
    </row>
    <row x14ac:dyDescent="0.25" r="25" customHeight="1" ht="18.75" customFormat="1" s="1">
      <c r="A25" s="4"/>
      <c r="B25" s="4"/>
      <c r="C25" s="4"/>
      <c r="D25" s="4"/>
      <c r="E25" s="4"/>
      <c r="F25" s="4"/>
    </row>
    <row x14ac:dyDescent="0.25" r="26" customHeight="1" ht="18.75" customFormat="1" s="1">
      <c r="A26" s="3"/>
      <c r="B26" s="3"/>
      <c r="C26" s="3"/>
      <c r="D26" s="3"/>
      <c r="E26" s="3"/>
      <c r="F26" s="3"/>
    </row>
    <row x14ac:dyDescent="0.25" r="27" customHeight="1" ht="18.75" customFormat="1" s="1">
      <c r="A27" s="4"/>
      <c r="B27" s="4"/>
      <c r="C27" s="4"/>
      <c r="D27" s="4"/>
      <c r="E27" s="4"/>
      <c r="F27" s="4"/>
    </row>
    <row x14ac:dyDescent="0.25" r="28" customHeight="1" ht="18.75" customFormat="1" s="1">
      <c r="A28" s="3"/>
      <c r="B28" s="3"/>
      <c r="C28" s="3"/>
      <c r="D28" s="3"/>
      <c r="E28" s="3"/>
      <c r="F28" s="3"/>
    </row>
    <row x14ac:dyDescent="0.25" r="29" customHeight="1" ht="18.75" customFormat="1" s="1">
      <c r="A29" s="4"/>
      <c r="B29" s="4"/>
      <c r="C29" s="4"/>
      <c r="D29" s="4"/>
      <c r="E29" s="4"/>
      <c r="F29" s="4"/>
    </row>
    <row x14ac:dyDescent="0.25" r="30" customHeight="1" ht="18.75" customFormat="1" s="1">
      <c r="A30" s="3"/>
      <c r="B30" s="3"/>
      <c r="C30" s="3"/>
      <c r="D30" s="3"/>
      <c r="E30" s="3"/>
      <c r="F30" s="3"/>
    </row>
    <row x14ac:dyDescent="0.25" r="31" customHeight="1" ht="18.75" customFormat="1" s="1">
      <c r="A31" s="4"/>
      <c r="B31" s="4"/>
      <c r="C31" s="4"/>
      <c r="D31" s="4"/>
      <c r="E31" s="4"/>
      <c r="F31" s="4"/>
    </row>
    <row x14ac:dyDescent="0.25" r="32" customHeight="1" ht="18.75" customFormat="1" s="1">
      <c r="A32" s="3"/>
      <c r="B32" s="3"/>
      <c r="C32" s="3"/>
      <c r="D32" s="3"/>
      <c r="E32" s="3"/>
      <c r="F32" s="3"/>
    </row>
    <row x14ac:dyDescent="0.25" r="33" customHeight="1" ht="18.75" customFormat="1" s="1">
      <c r="A33" s="4"/>
      <c r="B33" s="4"/>
      <c r="C33" s="4"/>
      <c r="D33" s="4"/>
      <c r="E33" s="4"/>
      <c r="F33" s="4"/>
    </row>
    <row x14ac:dyDescent="0.25" r="34" customHeight="1" ht="18.75" customFormat="1" s="1">
      <c r="A34" s="3"/>
      <c r="B34" s="3"/>
      <c r="C34" s="3"/>
      <c r="D34" s="3"/>
      <c r="E34" s="3"/>
      <c r="F34" s="3"/>
    </row>
    <row x14ac:dyDescent="0.25" r="35" customHeight="1" ht="18.75" customFormat="1" s="1">
      <c r="A35" s="4"/>
      <c r="B35" s="4"/>
      <c r="C35" s="4"/>
      <c r="D35" s="4"/>
      <c r="E35" s="4"/>
      <c r="F35" s="4"/>
    </row>
    <row x14ac:dyDescent="0.25" r="36" customHeight="1" ht="18.75" customFormat="1" s="1">
      <c r="A36" s="3"/>
      <c r="B36" s="3"/>
      <c r="C36" s="3"/>
      <c r="D36" s="3"/>
      <c r="E36" s="3"/>
      <c r="F36" s="3"/>
    </row>
    <row x14ac:dyDescent="0.25" r="37" customHeight="1" ht="18.75" customFormat="1" s="1">
      <c r="A37" s="4"/>
      <c r="B37" s="4"/>
      <c r="C37" s="4"/>
      <c r="D37" s="4"/>
      <c r="E37" s="4"/>
      <c r="F37" s="4"/>
    </row>
    <row x14ac:dyDescent="0.25" r="38" customHeight="1" ht="18.75" customFormat="1" s="1">
      <c r="A38" s="3"/>
      <c r="B38" s="3"/>
      <c r="C38" s="3"/>
      <c r="D38" s="3"/>
      <c r="E38" s="3"/>
      <c r="F38" s="3"/>
    </row>
    <row x14ac:dyDescent="0.25" r="39" customHeight="1" ht="18.75" customFormat="1" s="1">
      <c r="A39" s="4"/>
      <c r="B39" s="4"/>
      <c r="C39" s="4"/>
      <c r="D39" s="4"/>
      <c r="E39" s="4"/>
      <c r="F39" s="4"/>
    </row>
    <row x14ac:dyDescent="0.25" r="40" customHeight="1" ht="18.75" customFormat="1" s="1">
      <c r="A40" s="3"/>
      <c r="B40" s="3"/>
      <c r="C40" s="3"/>
      <c r="D40" s="3"/>
      <c r="E40" s="3"/>
      <c r="F40" s="3"/>
    </row>
    <row x14ac:dyDescent="0.25" r="41" customHeight="1" ht="18.75" customFormat="1" s="1">
      <c r="A41" s="4"/>
      <c r="B41" s="4"/>
      <c r="C41" s="4"/>
      <c r="D41" s="4"/>
      <c r="E41" s="4"/>
      <c r="F41" s="4"/>
    </row>
    <row x14ac:dyDescent="0.25" r="42" customHeight="1" ht="18.75" customFormat="1" s="1">
      <c r="A42" s="3"/>
      <c r="B42" s="3"/>
      <c r="C42" s="3"/>
      <c r="D42" s="3"/>
      <c r="E42" s="3"/>
      <c r="F42" s="3"/>
    </row>
    <row x14ac:dyDescent="0.25" r="43" customHeight="1" ht="18.75" customFormat="1" s="1">
      <c r="A43" s="4"/>
      <c r="B43" s="4"/>
      <c r="C43" s="4"/>
      <c r="D43" s="4"/>
      <c r="E43" s="4"/>
      <c r="F43" s="4"/>
    </row>
    <row x14ac:dyDescent="0.25" r="44" customHeight="1" ht="18.75" customFormat="1" s="1">
      <c r="A44" s="3"/>
      <c r="B44" s="3"/>
      <c r="C44" s="3"/>
      <c r="D44" s="3"/>
      <c r="E44" s="3"/>
      <c r="F44" s="3"/>
    </row>
    <row x14ac:dyDescent="0.25" r="45" customHeight="1" ht="18.75" customFormat="1" s="1">
      <c r="A45" s="4"/>
      <c r="B45" s="4"/>
      <c r="C45" s="4"/>
      <c r="D45" s="4"/>
      <c r="E45" s="4"/>
      <c r="F45" s="4"/>
    </row>
    <row x14ac:dyDescent="0.25" r="46" customHeight="1" ht="18.75" customFormat="1" s="1">
      <c r="A46" s="3"/>
      <c r="B46" s="3"/>
      <c r="C46" s="3"/>
      <c r="D46" s="3"/>
      <c r="E46" s="3"/>
      <c r="F46" s="3"/>
    </row>
    <row x14ac:dyDescent="0.25" r="47" customHeight="1" ht="18.75" customFormat="1" s="1">
      <c r="A47" s="4"/>
      <c r="B47" s="4"/>
      <c r="C47" s="4"/>
      <c r="D47" s="4"/>
      <c r="E47" s="4"/>
      <c r="F47" s="4"/>
    </row>
    <row x14ac:dyDescent="0.25" r="48" customHeight="1" ht="18.75" customFormat="1" s="1">
      <c r="A48" s="3"/>
      <c r="B48" s="3"/>
      <c r="C48" s="3"/>
      <c r="D48" s="3"/>
      <c r="E48" s="3"/>
      <c r="F48" s="3"/>
    </row>
    <row x14ac:dyDescent="0.25" r="49" customHeight="1" ht="18.75" customFormat="1" s="1">
      <c r="A49" s="4"/>
      <c r="B49" s="4"/>
      <c r="C49" s="4"/>
      <c r="D49" s="4"/>
      <c r="E49" s="4"/>
      <c r="F49" s="4"/>
    </row>
    <row x14ac:dyDescent="0.25" r="50" customHeight="1" ht="18.75" customFormat="1" s="1">
      <c r="A50" s="3"/>
      <c r="B50" s="3"/>
      <c r="C50" s="3"/>
      <c r="D50" s="3"/>
      <c r="E50" s="3"/>
      <c r="F50" s="3"/>
    </row>
    <row x14ac:dyDescent="0.25" r="51" customHeight="1" ht="18.75" customFormat="1" s="1">
      <c r="A51" s="4"/>
      <c r="B51" s="4"/>
      <c r="C51" s="4"/>
      <c r="D51" s="4"/>
      <c r="E51" s="4"/>
      <c r="F51" s="4"/>
    </row>
    <row x14ac:dyDescent="0.25" r="52" customHeight="1" ht="18.75" customFormat="1" s="1">
      <c r="A52" s="3"/>
      <c r="B52" s="3"/>
      <c r="C52" s="3"/>
      <c r="D52" s="3"/>
      <c r="E52" s="3"/>
      <c r="F52" s="3"/>
    </row>
    <row x14ac:dyDescent="0.25" r="53" customHeight="1" ht="18.75" customFormat="1" s="1">
      <c r="A53" s="4"/>
      <c r="B53" s="4"/>
      <c r="C53" s="4"/>
      <c r="D53" s="4"/>
      <c r="E53" s="4"/>
      <c r="F53" s="4"/>
    </row>
    <row x14ac:dyDescent="0.25" r="54" customHeight="1" ht="18.75" customFormat="1" s="1">
      <c r="A54" s="3"/>
      <c r="B54" s="3"/>
      <c r="C54" s="3"/>
      <c r="D54" s="3"/>
      <c r="E54" s="3"/>
      <c r="F54" s="3"/>
    </row>
    <row x14ac:dyDescent="0.25" r="55" customHeight="1" ht="18.75" customFormat="1" s="1">
      <c r="A55" s="4"/>
      <c r="B55" s="4"/>
      <c r="C55" s="4"/>
      <c r="D55" s="4"/>
      <c r="E55" s="4"/>
      <c r="F55" s="4"/>
    </row>
    <row x14ac:dyDescent="0.25" r="56" customHeight="1" ht="18.75" customFormat="1" s="1">
      <c r="A56" s="3"/>
      <c r="B56" s="3"/>
      <c r="C56" s="3"/>
      <c r="D56" s="3"/>
      <c r="E56" s="3"/>
      <c r="F56" s="3"/>
    </row>
    <row x14ac:dyDescent="0.25" r="57" customHeight="1" ht="18.75" customFormat="1" s="1">
      <c r="A57" s="4"/>
      <c r="B57" s="4"/>
      <c r="C57" s="4"/>
      <c r="D57" s="4"/>
      <c r="E57" s="4"/>
      <c r="F57" s="4"/>
    </row>
    <row x14ac:dyDescent="0.25" r="58" customHeight="1" ht="18.75" customFormat="1" s="1">
      <c r="A58" s="3"/>
      <c r="B58" s="3"/>
      <c r="C58" s="3"/>
      <c r="D58" s="3"/>
      <c r="E58" s="3"/>
      <c r="F58" s="3"/>
    </row>
    <row x14ac:dyDescent="0.25" r="59" customHeight="1" ht="18.75" customFormat="1" s="1">
      <c r="A59" s="4"/>
      <c r="B59" s="4"/>
      <c r="C59" s="4"/>
      <c r="D59" s="4"/>
      <c r="E59" s="4"/>
      <c r="F59" s="4"/>
    </row>
    <row x14ac:dyDescent="0.25" r="60" customHeight="1" ht="18.75" customFormat="1" s="1">
      <c r="A60" s="3"/>
      <c r="B60" s="3"/>
      <c r="C60" s="3"/>
      <c r="D60" s="3"/>
      <c r="E60" s="3"/>
      <c r="F60" s="3"/>
    </row>
    <row x14ac:dyDescent="0.25" r="61" customHeight="1" ht="18.75" customFormat="1" s="1">
      <c r="A61" s="4"/>
      <c r="B61" s="4"/>
      <c r="C61" s="4"/>
      <c r="D61" s="4"/>
      <c r="E61" s="4"/>
      <c r="F61" s="4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1"/>
  <sheetViews>
    <sheetView workbookViewId="0"/>
  </sheetViews>
  <sheetFormatPr defaultRowHeight="15" x14ac:dyDescent="0.25"/>
  <cols>
    <col min="1" max="1" style="5" width="8.005" customWidth="1" bestFit="1"/>
    <col min="2" max="2" style="5" width="24.005" customWidth="1" bestFit="1"/>
    <col min="3" max="3" style="5" width="52.005" customWidth="1" bestFit="1"/>
  </cols>
  <sheetData>
    <row x14ac:dyDescent="0.25" r="1" customHeight="1" ht="18.75" customFormat="1" s="1">
      <c r="A1" s="42" t="s">
        <v>1132</v>
      </c>
      <c r="B1" s="7"/>
      <c r="C1" s="7"/>
    </row>
    <row x14ac:dyDescent="0.25" r="2" customHeight="1" ht="18.75" customFormat="1" s="1">
      <c r="A2" s="2" t="s">
        <v>959</v>
      </c>
      <c r="B2" s="2" t="s">
        <v>1133</v>
      </c>
      <c r="C2" s="2" t="s">
        <v>1134</v>
      </c>
    </row>
    <row x14ac:dyDescent="0.25" r="3" customHeight="1" ht="18.75" customFormat="1" s="1">
      <c r="A3" s="4" t="s">
        <v>1093</v>
      </c>
      <c r="B3" s="4" t="s">
        <v>1135</v>
      </c>
      <c r="C3" s="4" t="s">
        <v>1136</v>
      </c>
    </row>
    <row x14ac:dyDescent="0.25" r="4" customHeight="1" ht="18.75" customFormat="1" s="1">
      <c r="A4" s="3" t="s">
        <v>1093</v>
      </c>
      <c r="B4" s="3" t="s">
        <v>1028</v>
      </c>
      <c r="C4" s="3" t="s">
        <v>1029</v>
      </c>
    </row>
    <row x14ac:dyDescent="0.25" r="5" customHeight="1" ht="18.75" customFormat="1" s="1">
      <c r="A5" s="4" t="s">
        <v>1093</v>
      </c>
      <c r="B5" s="4" t="s">
        <v>1031</v>
      </c>
      <c r="C5" s="4" t="s">
        <v>1137</v>
      </c>
    </row>
    <row x14ac:dyDescent="0.25" r="6" customHeight="1" ht="18.75" customFormat="1" s="1">
      <c r="A6" s="3" t="s">
        <v>1093</v>
      </c>
      <c r="B6" s="3" t="s">
        <v>978</v>
      </c>
      <c r="C6" s="3" t="s">
        <v>982</v>
      </c>
    </row>
    <row x14ac:dyDescent="0.25" r="7" customHeight="1" ht="18.75" customFormat="1" s="1">
      <c r="A7" s="4" t="s">
        <v>1094</v>
      </c>
      <c r="B7" s="4" t="s">
        <v>950</v>
      </c>
      <c r="C7" s="4" t="s">
        <v>239</v>
      </c>
    </row>
    <row x14ac:dyDescent="0.25" r="8" customHeight="1" ht="18.75" customFormat="1" s="1">
      <c r="A8" s="3" t="s">
        <v>1094</v>
      </c>
      <c r="B8" s="3" t="s">
        <v>948</v>
      </c>
      <c r="C8" s="3" t="s">
        <v>1019</v>
      </c>
    </row>
    <row x14ac:dyDescent="0.25" r="9" customHeight="1" ht="18.75" customFormat="1" s="1">
      <c r="A9" s="4" t="s">
        <v>1094</v>
      </c>
      <c r="B9" s="4" t="s">
        <v>949</v>
      </c>
      <c r="C9" s="4" t="s">
        <v>1013</v>
      </c>
    </row>
    <row x14ac:dyDescent="0.25" r="10" customHeight="1" ht="18.75" customFormat="1" s="1">
      <c r="A10" s="3" t="s">
        <v>1095</v>
      </c>
      <c r="B10" s="3" t="s">
        <v>950</v>
      </c>
      <c r="C10" s="3" t="s">
        <v>239</v>
      </c>
    </row>
    <row x14ac:dyDescent="0.25" r="11" customHeight="1" ht="18.75" customFormat="1" s="1">
      <c r="A11" s="4" t="s">
        <v>1095</v>
      </c>
      <c r="B11" s="4" t="s">
        <v>948</v>
      </c>
      <c r="C11" s="4" t="s">
        <v>1019</v>
      </c>
    </row>
    <row x14ac:dyDescent="0.25" r="12" customHeight="1" ht="18.75" customFormat="1" s="1">
      <c r="A12" s="3" t="s">
        <v>1095</v>
      </c>
      <c r="B12" s="3" t="s">
        <v>949</v>
      </c>
      <c r="C12" s="3" t="s">
        <v>1016</v>
      </c>
    </row>
    <row x14ac:dyDescent="0.25" r="13" customHeight="1" ht="18.75" customFormat="1" s="1">
      <c r="A13" s="4" t="s">
        <v>1099</v>
      </c>
      <c r="B13" s="4" t="s">
        <v>1138</v>
      </c>
      <c r="C13" s="4" t="s">
        <v>1139</v>
      </c>
    </row>
    <row x14ac:dyDescent="0.25" r="14" customHeight="1" ht="18.75" customFormat="1" s="1">
      <c r="A14" s="3" t="s">
        <v>1100</v>
      </c>
      <c r="B14" s="3" t="s">
        <v>1129</v>
      </c>
      <c r="C14" s="3" t="s">
        <v>1137</v>
      </c>
    </row>
    <row x14ac:dyDescent="0.25" r="15" customHeight="1" ht="18.75" customFormat="1" s="1">
      <c r="A15" s="4"/>
      <c r="B15" s="4"/>
      <c r="C15" s="4"/>
    </row>
    <row x14ac:dyDescent="0.25" r="16" customHeight="1" ht="18.75" customFormat="1" s="1">
      <c r="A16" s="3"/>
      <c r="B16" s="3"/>
      <c r="C16" s="3"/>
    </row>
    <row x14ac:dyDescent="0.25" r="17" customHeight="1" ht="18.75" customFormat="1" s="1">
      <c r="A17" s="4"/>
      <c r="B17" s="4"/>
      <c r="C17" s="4"/>
    </row>
    <row x14ac:dyDescent="0.25" r="18" customHeight="1" ht="18.75" customFormat="1" s="1">
      <c r="A18" s="3"/>
      <c r="B18" s="3"/>
      <c r="C18" s="3"/>
    </row>
    <row x14ac:dyDescent="0.25" r="19" customHeight="1" ht="18.75" customFormat="1" s="1">
      <c r="A19" s="4"/>
      <c r="B19" s="4"/>
      <c r="C19" s="4"/>
    </row>
    <row x14ac:dyDescent="0.25" r="20" customHeight="1" ht="18.75" customFormat="1" s="1">
      <c r="A20" s="3"/>
      <c r="B20" s="3"/>
      <c r="C20" s="3"/>
    </row>
    <row x14ac:dyDescent="0.25" r="21" customHeight="1" ht="18.75" customFormat="1" s="1">
      <c r="A21" s="4"/>
      <c r="B21" s="4"/>
      <c r="C21" s="4"/>
    </row>
    <row x14ac:dyDescent="0.25" r="22" customHeight="1" ht="18.75" customFormat="1" s="1">
      <c r="A22" s="3"/>
      <c r="B22" s="3"/>
      <c r="C22" s="3"/>
    </row>
    <row x14ac:dyDescent="0.25" r="23" customHeight="1" ht="18.75" customFormat="1" s="1">
      <c r="A23" s="4"/>
      <c r="B23" s="4"/>
      <c r="C23" s="4"/>
    </row>
    <row x14ac:dyDescent="0.25" r="24" customHeight="1" ht="18.75" customFormat="1" s="1">
      <c r="A24" s="3"/>
      <c r="B24" s="3"/>
      <c r="C24" s="3"/>
    </row>
    <row x14ac:dyDescent="0.25" r="25" customHeight="1" ht="18.75" customFormat="1" s="1">
      <c r="A25" s="4"/>
      <c r="B25" s="4"/>
      <c r="C25" s="4"/>
    </row>
    <row x14ac:dyDescent="0.25" r="26" customHeight="1" ht="18.75" customFormat="1" s="1">
      <c r="A26" s="3"/>
      <c r="B26" s="3"/>
      <c r="C26" s="3"/>
    </row>
    <row x14ac:dyDescent="0.25" r="27" customHeight="1" ht="18.75" customFormat="1" s="1">
      <c r="A27" s="4"/>
      <c r="B27" s="4"/>
      <c r="C27" s="4"/>
    </row>
    <row x14ac:dyDescent="0.25" r="28" customHeight="1" ht="18.75" customFormat="1" s="1">
      <c r="A28" s="3"/>
      <c r="B28" s="3"/>
      <c r="C28" s="3"/>
    </row>
    <row x14ac:dyDescent="0.25" r="29" customHeight="1" ht="18.75" customFormat="1" s="1">
      <c r="A29" s="4"/>
      <c r="B29" s="4"/>
      <c r="C29" s="4"/>
    </row>
    <row x14ac:dyDescent="0.25" r="30" customHeight="1" ht="18.75" customFormat="1" s="1">
      <c r="A30" s="3"/>
      <c r="B30" s="3"/>
      <c r="C30" s="3"/>
    </row>
    <row x14ac:dyDescent="0.25" r="31" customHeight="1" ht="18.75" customFormat="1" s="1">
      <c r="A31" s="4"/>
      <c r="B31" s="4"/>
      <c r="C31" s="4"/>
    </row>
    <row x14ac:dyDescent="0.25" r="32" customHeight="1" ht="18.75" customFormat="1" s="1">
      <c r="A32" s="3"/>
      <c r="B32" s="3"/>
      <c r="C32" s="3"/>
    </row>
    <row x14ac:dyDescent="0.25" r="33" customHeight="1" ht="18.75" customFormat="1" s="1">
      <c r="A33" s="4"/>
      <c r="B33" s="4"/>
      <c r="C33" s="4"/>
    </row>
    <row x14ac:dyDescent="0.25" r="34" customHeight="1" ht="18.75" customFormat="1" s="1">
      <c r="A34" s="3"/>
      <c r="B34" s="3"/>
      <c r="C34" s="3"/>
    </row>
    <row x14ac:dyDescent="0.25" r="35" customHeight="1" ht="18.75" customFormat="1" s="1">
      <c r="A35" s="4"/>
      <c r="B35" s="4"/>
      <c r="C35" s="4"/>
    </row>
    <row x14ac:dyDescent="0.25" r="36" customHeight="1" ht="18.75" customFormat="1" s="1">
      <c r="A36" s="3"/>
      <c r="B36" s="3"/>
      <c r="C36" s="3"/>
    </row>
    <row x14ac:dyDescent="0.25" r="37" customHeight="1" ht="18.75" customFormat="1" s="1">
      <c r="A37" s="4"/>
      <c r="B37" s="4"/>
      <c r="C37" s="4"/>
    </row>
    <row x14ac:dyDescent="0.25" r="38" customHeight="1" ht="18.75" customFormat="1" s="1">
      <c r="A38" s="3"/>
      <c r="B38" s="3"/>
      <c r="C38" s="3"/>
    </row>
    <row x14ac:dyDescent="0.25" r="39" customHeight="1" ht="18.75" customFormat="1" s="1">
      <c r="A39" s="4"/>
      <c r="B39" s="4"/>
      <c r="C39" s="4"/>
    </row>
    <row x14ac:dyDescent="0.25" r="40" customHeight="1" ht="18.75" customFormat="1" s="1">
      <c r="A40" s="3"/>
      <c r="B40" s="3"/>
      <c r="C40" s="3"/>
    </row>
    <row x14ac:dyDescent="0.25" r="41" customHeight="1" ht="18.75" customFormat="1" s="1">
      <c r="A41" s="4"/>
      <c r="B41" s="4"/>
      <c r="C41" s="4"/>
    </row>
    <row x14ac:dyDescent="0.25" r="42" customHeight="1" ht="18.75" customFormat="1" s="1">
      <c r="A42" s="3"/>
      <c r="B42" s="3"/>
      <c r="C42" s="3"/>
    </row>
    <row x14ac:dyDescent="0.25" r="43" customHeight="1" ht="18.75" customFormat="1" s="1">
      <c r="A43" s="4"/>
      <c r="B43" s="4"/>
      <c r="C43" s="4"/>
    </row>
    <row x14ac:dyDescent="0.25" r="44" customHeight="1" ht="18.75" customFormat="1" s="1">
      <c r="A44" s="3"/>
      <c r="B44" s="3"/>
      <c r="C44" s="3"/>
    </row>
    <row x14ac:dyDescent="0.25" r="45" customHeight="1" ht="18.75" customFormat="1" s="1">
      <c r="A45" s="4"/>
      <c r="B45" s="4"/>
      <c r="C45" s="4"/>
    </row>
    <row x14ac:dyDescent="0.25" r="46" customHeight="1" ht="18.75" customFormat="1" s="1">
      <c r="A46" s="3"/>
      <c r="B46" s="3"/>
      <c r="C46" s="3"/>
    </row>
    <row x14ac:dyDescent="0.25" r="47" customHeight="1" ht="18.75" customFormat="1" s="1">
      <c r="A47" s="4"/>
      <c r="B47" s="4"/>
      <c r="C47" s="4"/>
    </row>
    <row x14ac:dyDescent="0.25" r="48" customHeight="1" ht="18.75" customFormat="1" s="1">
      <c r="A48" s="3"/>
      <c r="B48" s="3"/>
      <c r="C48" s="3"/>
    </row>
    <row x14ac:dyDescent="0.25" r="49" customHeight="1" ht="18.75" customFormat="1" s="1">
      <c r="A49" s="4"/>
      <c r="B49" s="4"/>
      <c r="C49" s="4"/>
    </row>
    <row x14ac:dyDescent="0.25" r="50" customHeight="1" ht="18.75" customFormat="1" s="1">
      <c r="A50" s="3"/>
      <c r="B50" s="3"/>
      <c r="C50" s="3"/>
    </row>
    <row x14ac:dyDescent="0.25" r="51" customHeight="1" ht="18.75" customFormat="1" s="1">
      <c r="A51" s="4"/>
      <c r="B51" s="4"/>
      <c r="C51" s="4"/>
    </row>
    <row x14ac:dyDescent="0.25" r="52" customHeight="1" ht="18.75" customFormat="1" s="1">
      <c r="A52" s="3"/>
      <c r="B52" s="3"/>
      <c r="C52" s="3"/>
    </row>
    <row x14ac:dyDescent="0.25" r="53" customHeight="1" ht="18.75" customFormat="1" s="1">
      <c r="A53" s="4"/>
      <c r="B53" s="4"/>
      <c r="C53" s="4"/>
    </row>
    <row x14ac:dyDescent="0.25" r="54" customHeight="1" ht="18.75" customFormat="1" s="1">
      <c r="A54" s="3"/>
      <c r="B54" s="3"/>
      <c r="C54" s="3"/>
    </row>
    <row x14ac:dyDescent="0.25" r="55" customHeight="1" ht="18.75" customFormat="1" s="1">
      <c r="A55" s="4"/>
      <c r="B55" s="4"/>
      <c r="C55" s="4"/>
    </row>
    <row x14ac:dyDescent="0.25" r="56" customHeight="1" ht="18.75" customFormat="1" s="1">
      <c r="A56" s="3"/>
      <c r="B56" s="3"/>
      <c r="C56" s="3"/>
    </row>
    <row x14ac:dyDescent="0.25" r="57" customHeight="1" ht="18.75" customFormat="1" s="1">
      <c r="A57" s="4"/>
      <c r="B57" s="4"/>
      <c r="C57" s="4"/>
    </row>
    <row x14ac:dyDescent="0.25" r="58" customHeight="1" ht="18.75" customFormat="1" s="1">
      <c r="A58" s="3"/>
      <c r="B58" s="3"/>
      <c r="C58" s="3"/>
    </row>
    <row x14ac:dyDescent="0.25" r="59" customHeight="1" ht="18.75" customFormat="1" s="1">
      <c r="A59" s="4"/>
      <c r="B59" s="4"/>
      <c r="C59" s="4"/>
    </row>
    <row x14ac:dyDescent="0.25" r="60" customHeight="1" ht="18.75" customFormat="1" s="1">
      <c r="A60" s="3"/>
      <c r="B60" s="3"/>
      <c r="C60" s="3"/>
    </row>
    <row x14ac:dyDescent="0.25" r="61" customHeight="1" ht="18.75" customFormat="1" s="1">
      <c r="A61" s="4"/>
      <c r="B61" s="4"/>
      <c r="C61" s="4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1"/>
  <sheetViews>
    <sheetView workbookViewId="0"/>
  </sheetViews>
  <sheetFormatPr defaultRowHeight="15" x14ac:dyDescent="0.25"/>
  <cols>
    <col min="1" max="1" style="5" width="8.005" customWidth="1" bestFit="1"/>
    <col min="2" max="2" style="5" width="18.005" customWidth="1" bestFit="1"/>
    <col min="3" max="3" style="5" width="18.005" customWidth="1" bestFit="1"/>
    <col min="4" max="4" style="5" width="18.005" customWidth="1" bestFit="1"/>
    <col min="5" max="5" style="5" width="18.005" customWidth="1" bestFit="1"/>
    <col min="6" max="6" style="5" width="44.005" customWidth="1" bestFit="1"/>
  </cols>
  <sheetData>
    <row x14ac:dyDescent="0.25" r="1" customHeight="1" ht="18.75" customFormat="1" s="1">
      <c r="A1" s="42" t="s">
        <v>1103</v>
      </c>
      <c r="B1" s="7"/>
      <c r="C1" s="7"/>
      <c r="D1" s="7"/>
      <c r="E1" s="7"/>
      <c r="F1" s="7"/>
    </row>
    <row x14ac:dyDescent="0.25" r="2" customHeight="1" ht="18.75" customFormat="1" s="1">
      <c r="A2" s="2" t="s">
        <v>959</v>
      </c>
      <c r="B2" s="2" t="s">
        <v>1104</v>
      </c>
      <c r="C2" s="2" t="s">
        <v>1105</v>
      </c>
      <c r="D2" s="2" t="s">
        <v>1106</v>
      </c>
      <c r="E2" s="2" t="s">
        <v>1107</v>
      </c>
      <c r="F2" s="2" t="s">
        <v>1108</v>
      </c>
    </row>
    <row x14ac:dyDescent="0.25" r="3" customHeight="1" ht="18.75" customFormat="1" s="1">
      <c r="A3" s="4" t="s">
        <v>1093</v>
      </c>
      <c r="B3" s="4" t="s">
        <v>1109</v>
      </c>
      <c r="C3" s="4" t="s">
        <v>1016</v>
      </c>
      <c r="D3" s="4" t="s">
        <v>1110</v>
      </c>
      <c r="E3" s="4" t="s">
        <v>265</v>
      </c>
      <c r="F3" s="4" t="s">
        <v>1111</v>
      </c>
    </row>
    <row x14ac:dyDescent="0.25" r="4" customHeight="1" ht="18.75" customFormat="1" s="1">
      <c r="A4" s="3" t="s">
        <v>1093</v>
      </c>
      <c r="B4" s="3" t="s">
        <v>1112</v>
      </c>
      <c r="C4" s="3" t="s">
        <v>380</v>
      </c>
      <c r="D4" s="3" t="s">
        <v>1113</v>
      </c>
      <c r="E4" s="3" t="s">
        <v>1114</v>
      </c>
      <c r="F4" s="3" t="s">
        <v>1115</v>
      </c>
    </row>
    <row x14ac:dyDescent="0.25" r="5" customHeight="1" ht="18.75" customFormat="1" s="1">
      <c r="A5" s="4" t="s">
        <v>1093</v>
      </c>
      <c r="B5" s="4" t="s">
        <v>1116</v>
      </c>
      <c r="C5" s="4" t="s">
        <v>268</v>
      </c>
      <c r="D5" s="4" t="s">
        <v>1113</v>
      </c>
      <c r="E5" s="4" t="s">
        <v>1114</v>
      </c>
      <c r="F5" s="4" t="s">
        <v>1117</v>
      </c>
    </row>
    <row x14ac:dyDescent="0.25" r="6" customHeight="1" ht="18.75" customFormat="1" s="1">
      <c r="A6" s="3" t="s">
        <v>1099</v>
      </c>
      <c r="B6" s="3" t="s">
        <v>1118</v>
      </c>
      <c r="C6" s="3" t="s">
        <v>1119</v>
      </c>
      <c r="D6" s="3" t="s">
        <v>1120</v>
      </c>
      <c r="E6" s="3" t="s">
        <v>1121</v>
      </c>
      <c r="F6" s="3" t="s">
        <v>1122</v>
      </c>
    </row>
    <row x14ac:dyDescent="0.25" r="7" customHeight="1" ht="18.75" customFormat="1" s="1">
      <c r="A7" s="4" t="s">
        <v>1099</v>
      </c>
      <c r="B7" s="4" t="s">
        <v>1123</v>
      </c>
      <c r="C7" s="4" t="s">
        <v>1124</v>
      </c>
      <c r="D7" s="4" t="s">
        <v>949</v>
      </c>
      <c r="E7" s="4" t="s">
        <v>1125</v>
      </c>
      <c r="F7" s="4" t="s">
        <v>1126</v>
      </c>
    </row>
    <row x14ac:dyDescent="0.25" r="8" customHeight="1" ht="18.75" customFormat="1" s="1">
      <c r="A8" s="3" t="s">
        <v>1100</v>
      </c>
      <c r="B8" s="3" t="s">
        <v>1127</v>
      </c>
      <c r="C8" s="3" t="s">
        <v>1128</v>
      </c>
      <c r="D8" s="3" t="s">
        <v>1129</v>
      </c>
      <c r="E8" s="3" t="s">
        <v>1130</v>
      </c>
      <c r="F8" s="3" t="s">
        <v>1131</v>
      </c>
    </row>
    <row x14ac:dyDescent="0.25" r="9" customHeight="1" ht="18.75" customFormat="1" s="1">
      <c r="A9" s="4"/>
      <c r="B9" s="4"/>
      <c r="C9" s="4"/>
      <c r="D9" s="4"/>
      <c r="E9" s="4"/>
      <c r="F9" s="4"/>
    </row>
    <row x14ac:dyDescent="0.25" r="10" customHeight="1" ht="18.75" customFormat="1" s="1">
      <c r="A10" s="3"/>
      <c r="B10" s="3"/>
      <c r="C10" s="3"/>
      <c r="D10" s="3"/>
      <c r="E10" s="3"/>
      <c r="F10" s="3"/>
    </row>
    <row x14ac:dyDescent="0.25" r="11" customHeight="1" ht="18.75" customFormat="1" s="1">
      <c r="A11" s="4"/>
      <c r="B11" s="4"/>
      <c r="C11" s="4"/>
      <c r="D11" s="4"/>
      <c r="E11" s="4"/>
      <c r="F11" s="4"/>
    </row>
    <row x14ac:dyDescent="0.25" r="12" customHeight="1" ht="18.75" customFormat="1" s="1">
      <c r="A12" s="3"/>
      <c r="B12" s="3"/>
      <c r="C12" s="3"/>
      <c r="D12" s="3"/>
      <c r="E12" s="3"/>
      <c r="F12" s="3"/>
    </row>
    <row x14ac:dyDescent="0.25" r="13" customHeight="1" ht="18.75" customFormat="1" s="1">
      <c r="A13" s="4"/>
      <c r="B13" s="4"/>
      <c r="C13" s="4"/>
      <c r="D13" s="4"/>
      <c r="E13" s="4"/>
      <c r="F13" s="4"/>
    </row>
    <row x14ac:dyDescent="0.25" r="14" customHeight="1" ht="18.75" customFormat="1" s="1">
      <c r="A14" s="3"/>
      <c r="B14" s="3"/>
      <c r="C14" s="3"/>
      <c r="D14" s="3"/>
      <c r="E14" s="3"/>
      <c r="F14" s="3"/>
    </row>
    <row x14ac:dyDescent="0.25" r="15" customHeight="1" ht="18.75" customFormat="1" s="1">
      <c r="A15" s="4"/>
      <c r="B15" s="4"/>
      <c r="C15" s="4"/>
      <c r="D15" s="4"/>
      <c r="E15" s="4"/>
      <c r="F15" s="4"/>
    </row>
    <row x14ac:dyDescent="0.25" r="16" customHeight="1" ht="18.75" customFormat="1" s="1">
      <c r="A16" s="3"/>
      <c r="B16" s="3"/>
      <c r="C16" s="3"/>
      <c r="D16" s="3"/>
      <c r="E16" s="3"/>
      <c r="F16" s="3"/>
    </row>
    <row x14ac:dyDescent="0.25" r="17" customHeight="1" ht="18.75" customFormat="1" s="1">
      <c r="A17" s="4"/>
      <c r="B17" s="4"/>
      <c r="C17" s="4"/>
      <c r="D17" s="4"/>
      <c r="E17" s="4"/>
      <c r="F17" s="4"/>
    </row>
    <row x14ac:dyDescent="0.25" r="18" customHeight="1" ht="18.75" customFormat="1" s="1">
      <c r="A18" s="3"/>
      <c r="B18" s="3"/>
      <c r="C18" s="3"/>
      <c r="D18" s="3"/>
      <c r="E18" s="3"/>
      <c r="F18" s="3"/>
    </row>
    <row x14ac:dyDescent="0.25" r="19" customHeight="1" ht="18.75" customFormat="1" s="1">
      <c r="A19" s="4"/>
      <c r="B19" s="4"/>
      <c r="C19" s="4"/>
      <c r="D19" s="4"/>
      <c r="E19" s="4"/>
      <c r="F19" s="4"/>
    </row>
    <row x14ac:dyDescent="0.25" r="20" customHeight="1" ht="18.75" customFormat="1" s="1">
      <c r="A20" s="3"/>
      <c r="B20" s="3"/>
      <c r="C20" s="3"/>
      <c r="D20" s="3"/>
      <c r="E20" s="3"/>
      <c r="F20" s="3"/>
    </row>
    <row x14ac:dyDescent="0.25" r="21" customHeight="1" ht="18.75" customFormat="1" s="1">
      <c r="A21" s="4"/>
      <c r="B21" s="4"/>
      <c r="C21" s="4"/>
      <c r="D21" s="4"/>
      <c r="E21" s="4"/>
      <c r="F21" s="4"/>
    </row>
    <row x14ac:dyDescent="0.25" r="22" customHeight="1" ht="18.75" customFormat="1" s="1">
      <c r="A22" s="3"/>
      <c r="B22" s="3"/>
      <c r="C22" s="3"/>
      <c r="D22" s="3"/>
      <c r="E22" s="3"/>
      <c r="F22" s="3"/>
    </row>
    <row x14ac:dyDescent="0.25" r="23" customHeight="1" ht="18.75" customFormat="1" s="1">
      <c r="A23" s="4"/>
      <c r="B23" s="4"/>
      <c r="C23" s="4"/>
      <c r="D23" s="4"/>
      <c r="E23" s="4"/>
      <c r="F23" s="4"/>
    </row>
    <row x14ac:dyDescent="0.25" r="24" customHeight="1" ht="18.75" customFormat="1" s="1">
      <c r="A24" s="3"/>
      <c r="B24" s="3"/>
      <c r="C24" s="3"/>
      <c r="D24" s="3"/>
      <c r="E24" s="3"/>
      <c r="F24" s="3"/>
    </row>
    <row x14ac:dyDescent="0.25" r="25" customHeight="1" ht="18.75" customFormat="1" s="1">
      <c r="A25" s="4"/>
      <c r="B25" s="4"/>
      <c r="C25" s="4"/>
      <c r="D25" s="4"/>
      <c r="E25" s="4"/>
      <c r="F25" s="4"/>
    </row>
    <row x14ac:dyDescent="0.25" r="26" customHeight="1" ht="18.75" customFormat="1" s="1">
      <c r="A26" s="3"/>
      <c r="B26" s="3"/>
      <c r="C26" s="3"/>
      <c r="D26" s="3"/>
      <c r="E26" s="3"/>
      <c r="F26" s="3"/>
    </row>
    <row x14ac:dyDescent="0.25" r="27" customHeight="1" ht="18.75" customFormat="1" s="1">
      <c r="A27" s="4"/>
      <c r="B27" s="4"/>
      <c r="C27" s="4"/>
      <c r="D27" s="4"/>
      <c r="E27" s="4"/>
      <c r="F27" s="4"/>
    </row>
    <row x14ac:dyDescent="0.25" r="28" customHeight="1" ht="18.75" customFormat="1" s="1">
      <c r="A28" s="3"/>
      <c r="B28" s="3"/>
      <c r="C28" s="3"/>
      <c r="D28" s="3"/>
      <c r="E28" s="3"/>
      <c r="F28" s="3"/>
    </row>
    <row x14ac:dyDescent="0.25" r="29" customHeight="1" ht="18.75" customFormat="1" s="1">
      <c r="A29" s="4"/>
      <c r="B29" s="4"/>
      <c r="C29" s="4"/>
      <c r="D29" s="4"/>
      <c r="E29" s="4"/>
      <c r="F29" s="4"/>
    </row>
    <row x14ac:dyDescent="0.25" r="30" customHeight="1" ht="18.75" customFormat="1" s="1">
      <c r="A30" s="3"/>
      <c r="B30" s="3"/>
      <c r="C30" s="3"/>
      <c r="D30" s="3"/>
      <c r="E30" s="3"/>
      <c r="F30" s="3"/>
    </row>
    <row x14ac:dyDescent="0.25" r="31" customHeight="1" ht="18.75" customFormat="1" s="1">
      <c r="A31" s="4"/>
      <c r="B31" s="4"/>
      <c r="C31" s="4"/>
      <c r="D31" s="4"/>
      <c r="E31" s="4"/>
      <c r="F31" s="4"/>
    </row>
    <row x14ac:dyDescent="0.25" r="32" customHeight="1" ht="18.75" customFormat="1" s="1">
      <c r="A32" s="3"/>
      <c r="B32" s="3"/>
      <c r="C32" s="3"/>
      <c r="D32" s="3"/>
      <c r="E32" s="3"/>
      <c r="F32" s="3"/>
    </row>
    <row x14ac:dyDescent="0.25" r="33" customHeight="1" ht="18.75" customFormat="1" s="1">
      <c r="A33" s="4"/>
      <c r="B33" s="4"/>
      <c r="C33" s="4"/>
      <c r="D33" s="4"/>
      <c r="E33" s="4"/>
      <c r="F33" s="4"/>
    </row>
    <row x14ac:dyDescent="0.25" r="34" customHeight="1" ht="18.75" customFormat="1" s="1">
      <c r="A34" s="3"/>
      <c r="B34" s="3"/>
      <c r="C34" s="3"/>
      <c r="D34" s="3"/>
      <c r="E34" s="3"/>
      <c r="F34" s="3"/>
    </row>
    <row x14ac:dyDescent="0.25" r="35" customHeight="1" ht="18.75" customFormat="1" s="1">
      <c r="A35" s="4"/>
      <c r="B35" s="4"/>
      <c r="C35" s="4"/>
      <c r="D35" s="4"/>
      <c r="E35" s="4"/>
      <c r="F35" s="4"/>
    </row>
    <row x14ac:dyDescent="0.25" r="36" customHeight="1" ht="18.75" customFormat="1" s="1">
      <c r="A36" s="3"/>
      <c r="B36" s="3"/>
      <c r="C36" s="3"/>
      <c r="D36" s="3"/>
      <c r="E36" s="3"/>
      <c r="F36" s="3"/>
    </row>
    <row x14ac:dyDescent="0.25" r="37" customHeight="1" ht="18.75" customFormat="1" s="1">
      <c r="A37" s="4"/>
      <c r="B37" s="4"/>
      <c r="C37" s="4"/>
      <c r="D37" s="4"/>
      <c r="E37" s="4"/>
      <c r="F37" s="4"/>
    </row>
    <row x14ac:dyDescent="0.25" r="38" customHeight="1" ht="18.75" customFormat="1" s="1">
      <c r="A38" s="3"/>
      <c r="B38" s="3"/>
      <c r="C38" s="3"/>
      <c r="D38" s="3"/>
      <c r="E38" s="3"/>
      <c r="F38" s="3"/>
    </row>
    <row x14ac:dyDescent="0.25" r="39" customHeight="1" ht="18.75" customFormat="1" s="1">
      <c r="A39" s="4"/>
      <c r="B39" s="4"/>
      <c r="C39" s="4"/>
      <c r="D39" s="4"/>
      <c r="E39" s="4"/>
      <c r="F39" s="4"/>
    </row>
    <row x14ac:dyDescent="0.25" r="40" customHeight="1" ht="18.75" customFormat="1" s="1">
      <c r="A40" s="3"/>
      <c r="B40" s="3"/>
      <c r="C40" s="3"/>
      <c r="D40" s="3"/>
      <c r="E40" s="3"/>
      <c r="F40" s="3"/>
    </row>
    <row x14ac:dyDescent="0.25" r="41" customHeight="1" ht="18.75" customFormat="1" s="1">
      <c r="A41" s="4"/>
      <c r="B41" s="4"/>
      <c r="C41" s="4"/>
      <c r="D41" s="4"/>
      <c r="E41" s="4"/>
      <c r="F41" s="4"/>
    </row>
    <row x14ac:dyDescent="0.25" r="42" customHeight="1" ht="18.75" customFormat="1" s="1">
      <c r="A42" s="3"/>
      <c r="B42" s="3"/>
      <c r="C42" s="3"/>
      <c r="D42" s="3"/>
      <c r="E42" s="3"/>
      <c r="F42" s="3"/>
    </row>
    <row x14ac:dyDescent="0.25" r="43" customHeight="1" ht="18.75" customFormat="1" s="1">
      <c r="A43" s="4"/>
      <c r="B43" s="4"/>
      <c r="C43" s="4"/>
      <c r="D43" s="4"/>
      <c r="E43" s="4"/>
      <c r="F43" s="4"/>
    </row>
    <row x14ac:dyDescent="0.25" r="44" customHeight="1" ht="18.75" customFormat="1" s="1">
      <c r="A44" s="3"/>
      <c r="B44" s="3"/>
      <c r="C44" s="3"/>
      <c r="D44" s="3"/>
      <c r="E44" s="3"/>
      <c r="F44" s="3"/>
    </row>
    <row x14ac:dyDescent="0.25" r="45" customHeight="1" ht="18.75" customFormat="1" s="1">
      <c r="A45" s="4"/>
      <c r="B45" s="4"/>
      <c r="C45" s="4"/>
      <c r="D45" s="4"/>
      <c r="E45" s="4"/>
      <c r="F45" s="4"/>
    </row>
    <row x14ac:dyDescent="0.25" r="46" customHeight="1" ht="18.75" customFormat="1" s="1">
      <c r="A46" s="3"/>
      <c r="B46" s="3"/>
      <c r="C46" s="3"/>
      <c r="D46" s="3"/>
      <c r="E46" s="3"/>
      <c r="F46" s="3"/>
    </row>
    <row x14ac:dyDescent="0.25" r="47" customHeight="1" ht="18.75" customFormat="1" s="1">
      <c r="A47" s="4"/>
      <c r="B47" s="4"/>
      <c r="C47" s="4"/>
      <c r="D47" s="4"/>
      <c r="E47" s="4"/>
      <c r="F47" s="4"/>
    </row>
    <row x14ac:dyDescent="0.25" r="48" customHeight="1" ht="18.75" customFormat="1" s="1">
      <c r="A48" s="3"/>
      <c r="B48" s="3"/>
      <c r="C48" s="3"/>
      <c r="D48" s="3"/>
      <c r="E48" s="3"/>
      <c r="F48" s="3"/>
    </row>
    <row x14ac:dyDescent="0.25" r="49" customHeight="1" ht="18.75" customFormat="1" s="1">
      <c r="A49" s="4"/>
      <c r="B49" s="4"/>
      <c r="C49" s="4"/>
      <c r="D49" s="4"/>
      <c r="E49" s="4"/>
      <c r="F49" s="4"/>
    </row>
    <row x14ac:dyDescent="0.25" r="50" customHeight="1" ht="18.75" customFormat="1" s="1">
      <c r="A50" s="3"/>
      <c r="B50" s="3"/>
      <c r="C50" s="3"/>
      <c r="D50" s="3"/>
      <c r="E50" s="3"/>
      <c r="F50" s="3"/>
    </row>
    <row x14ac:dyDescent="0.25" r="51" customHeight="1" ht="18.75" customFormat="1" s="1">
      <c r="A51" s="4"/>
      <c r="B51" s="4"/>
      <c r="C51" s="4"/>
      <c r="D51" s="4"/>
      <c r="E51" s="4"/>
      <c r="F51" s="4"/>
    </row>
    <row x14ac:dyDescent="0.25" r="52" customHeight="1" ht="18.75" customFormat="1" s="1">
      <c r="A52" s="3"/>
      <c r="B52" s="3"/>
      <c r="C52" s="3"/>
      <c r="D52" s="3"/>
      <c r="E52" s="3"/>
      <c r="F52" s="3"/>
    </row>
    <row x14ac:dyDescent="0.25" r="53" customHeight="1" ht="18.75" customFormat="1" s="1">
      <c r="A53" s="4"/>
      <c r="B53" s="4"/>
      <c r="C53" s="4"/>
      <c r="D53" s="4"/>
      <c r="E53" s="4"/>
      <c r="F53" s="4"/>
    </row>
    <row x14ac:dyDescent="0.25" r="54" customHeight="1" ht="18.75" customFormat="1" s="1">
      <c r="A54" s="3"/>
      <c r="B54" s="3"/>
      <c r="C54" s="3"/>
      <c r="D54" s="3"/>
      <c r="E54" s="3"/>
      <c r="F54" s="3"/>
    </row>
    <row x14ac:dyDescent="0.25" r="55" customHeight="1" ht="18.75" customFormat="1" s="1">
      <c r="A55" s="4"/>
      <c r="B55" s="4"/>
      <c r="C55" s="4"/>
      <c r="D55" s="4"/>
      <c r="E55" s="4"/>
      <c r="F55" s="4"/>
    </row>
    <row x14ac:dyDescent="0.25" r="56" customHeight="1" ht="18.75" customFormat="1" s="1">
      <c r="A56" s="3"/>
      <c r="B56" s="3"/>
      <c r="C56" s="3"/>
      <c r="D56" s="3"/>
      <c r="E56" s="3"/>
      <c r="F56" s="3"/>
    </row>
    <row x14ac:dyDescent="0.25" r="57" customHeight="1" ht="18.75" customFormat="1" s="1">
      <c r="A57" s="4"/>
      <c r="B57" s="4"/>
      <c r="C57" s="4"/>
      <c r="D57" s="4"/>
      <c r="E57" s="4"/>
      <c r="F57" s="4"/>
    </row>
    <row x14ac:dyDescent="0.25" r="58" customHeight="1" ht="18.75" customFormat="1" s="1">
      <c r="A58" s="3"/>
      <c r="B58" s="3"/>
      <c r="C58" s="3"/>
      <c r="D58" s="3"/>
      <c r="E58" s="3"/>
      <c r="F58" s="3"/>
    </row>
    <row x14ac:dyDescent="0.25" r="59" customHeight="1" ht="18.75" customFormat="1" s="1">
      <c r="A59" s="4"/>
      <c r="B59" s="4"/>
      <c r="C59" s="4"/>
      <c r="D59" s="4"/>
      <c r="E59" s="4"/>
      <c r="F59" s="4"/>
    </row>
    <row x14ac:dyDescent="0.25" r="60" customHeight="1" ht="18.75" customFormat="1" s="1">
      <c r="A60" s="3"/>
      <c r="B60" s="3"/>
      <c r="C60" s="3"/>
      <c r="D60" s="3"/>
      <c r="E60" s="3"/>
      <c r="F60" s="3"/>
    </row>
    <row x14ac:dyDescent="0.25" r="61" customHeight="1" ht="18.75" customFormat="1" s="1">
      <c r="A61" s="4"/>
      <c r="B61" s="4"/>
      <c r="C61" s="4"/>
      <c r="D61" s="4"/>
      <c r="E61" s="4"/>
      <c r="F61" s="4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1"/>
  <sheetViews>
    <sheetView workbookViewId="0"/>
  </sheetViews>
  <sheetFormatPr defaultRowHeight="15" x14ac:dyDescent="0.25"/>
  <cols>
    <col min="1" max="1" style="5" width="8.005" customWidth="1" bestFit="1"/>
    <col min="2" max="2" style="5" width="18.005" customWidth="1" bestFit="1"/>
    <col min="3" max="3" style="5" width="18.005" customWidth="1" bestFit="1"/>
    <col min="4" max="4" style="46" width="10.005" customWidth="1" bestFit="1"/>
    <col min="5" max="5" style="46" width="10.005" customWidth="1" bestFit="1"/>
  </cols>
  <sheetData>
    <row x14ac:dyDescent="0.25" r="1" customHeight="1" ht="18.75" customFormat="1" s="1">
      <c r="A1" s="42" t="s">
        <v>1088</v>
      </c>
      <c r="B1" s="7"/>
      <c r="C1" s="7"/>
      <c r="D1" s="43"/>
      <c r="E1" s="43"/>
    </row>
    <row x14ac:dyDescent="0.25" r="2" customHeight="1" ht="18.75" customFormat="1" s="1">
      <c r="A2" s="2" t="s">
        <v>959</v>
      </c>
      <c r="B2" s="2" t="s">
        <v>1089</v>
      </c>
      <c r="C2" s="2" t="s">
        <v>1090</v>
      </c>
      <c r="D2" s="38" t="s">
        <v>1091</v>
      </c>
      <c r="E2" s="38" t="s">
        <v>1092</v>
      </c>
    </row>
    <row x14ac:dyDescent="0.25" r="3" customHeight="1" ht="18.75" customFormat="1" s="1">
      <c r="A3" s="4" t="s">
        <v>1093</v>
      </c>
      <c r="B3" s="4" t="s">
        <v>236</v>
      </c>
      <c r="C3" s="4" t="s">
        <v>700</v>
      </c>
      <c r="D3" s="44">
        <v>1</v>
      </c>
      <c r="E3" s="44">
        <v>42</v>
      </c>
    </row>
    <row x14ac:dyDescent="0.25" r="4" customHeight="1" ht="18.75" customFormat="1" s="1">
      <c r="A4" s="3" t="s">
        <v>1093</v>
      </c>
      <c r="B4" s="3" t="s">
        <v>236</v>
      </c>
      <c r="C4" s="3" t="s">
        <v>701</v>
      </c>
      <c r="D4" s="45">
        <v>1</v>
      </c>
      <c r="E4" s="45">
        <v>42</v>
      </c>
    </row>
    <row x14ac:dyDescent="0.25" r="5" customHeight="1" ht="18.75" customFormat="1" s="1">
      <c r="A5" s="4" t="s">
        <v>1094</v>
      </c>
      <c r="B5" s="4" t="s">
        <v>236</v>
      </c>
      <c r="C5" s="4" t="s">
        <v>700</v>
      </c>
      <c r="D5" s="44">
        <v>1</v>
      </c>
      <c r="E5" s="44">
        <v>42</v>
      </c>
    </row>
    <row x14ac:dyDescent="0.25" r="6" customHeight="1" ht="18.75" customFormat="1" s="1">
      <c r="A6" s="3" t="s">
        <v>1094</v>
      </c>
      <c r="B6" s="3" t="s">
        <v>236</v>
      </c>
      <c r="C6" s="3" t="s">
        <v>701</v>
      </c>
      <c r="D6" s="45">
        <v>1</v>
      </c>
      <c r="E6" s="45">
        <v>42</v>
      </c>
    </row>
    <row x14ac:dyDescent="0.25" r="7" customHeight="1" ht="18.75" customFormat="1" s="1">
      <c r="A7" s="4" t="s">
        <v>1095</v>
      </c>
      <c r="B7" s="4" t="s">
        <v>1096</v>
      </c>
      <c r="C7" s="4" t="s">
        <v>1097</v>
      </c>
      <c r="D7" s="44">
        <v>1</v>
      </c>
      <c r="E7" s="44">
        <v>42</v>
      </c>
    </row>
    <row x14ac:dyDescent="0.25" r="8" customHeight="1" ht="18.75" customFormat="1" s="1">
      <c r="A8" s="3" t="s">
        <v>1095</v>
      </c>
      <c r="B8" s="3" t="s">
        <v>1096</v>
      </c>
      <c r="C8" s="3" t="s">
        <v>1098</v>
      </c>
      <c r="D8" s="45">
        <v>1</v>
      </c>
      <c r="E8" s="45">
        <v>42</v>
      </c>
    </row>
    <row x14ac:dyDescent="0.25" r="9" customHeight="1" ht="18.75" customFormat="1" s="1">
      <c r="A9" s="4" t="s">
        <v>1099</v>
      </c>
      <c r="B9" s="4" t="s">
        <v>236</v>
      </c>
      <c r="C9" s="4" t="s">
        <v>700</v>
      </c>
      <c r="D9" s="44">
        <v>1</v>
      </c>
      <c r="E9" s="44">
        <v>42</v>
      </c>
    </row>
    <row x14ac:dyDescent="0.25" r="10" customHeight="1" ht="18.75" customFormat="1" s="1">
      <c r="A10" s="3" t="s">
        <v>1099</v>
      </c>
      <c r="B10" s="3" t="s">
        <v>236</v>
      </c>
      <c r="C10" s="3" t="s">
        <v>701</v>
      </c>
      <c r="D10" s="45">
        <v>1</v>
      </c>
      <c r="E10" s="45">
        <v>42</v>
      </c>
    </row>
    <row x14ac:dyDescent="0.25" r="11" customHeight="1" ht="18.75" customFormat="1" s="1">
      <c r="A11" s="4" t="s">
        <v>1100</v>
      </c>
      <c r="B11" s="4" t="s">
        <v>1101</v>
      </c>
      <c r="C11" s="4" t="s">
        <v>1102</v>
      </c>
      <c r="D11" s="44">
        <v>1</v>
      </c>
      <c r="E11" s="44">
        <v>42</v>
      </c>
    </row>
    <row x14ac:dyDescent="0.25" r="12" customHeight="1" ht="18.75" customFormat="1" s="1">
      <c r="A12" s="3" t="s">
        <v>1100</v>
      </c>
      <c r="B12" s="3" t="s">
        <v>1101</v>
      </c>
      <c r="C12" s="3" t="s">
        <v>1102</v>
      </c>
      <c r="D12" s="45">
        <v>2</v>
      </c>
      <c r="E12" s="45">
        <v>42</v>
      </c>
    </row>
    <row x14ac:dyDescent="0.25" r="13" customHeight="1" ht="18.75" customFormat="1" s="1">
      <c r="A13" s="4"/>
      <c r="B13" s="4"/>
      <c r="C13" s="4"/>
      <c r="D13" s="39"/>
      <c r="E13" s="39"/>
    </row>
    <row x14ac:dyDescent="0.25" r="14" customHeight="1" ht="18.75" customFormat="1" s="1">
      <c r="A14" s="3"/>
      <c r="B14" s="3"/>
      <c r="C14" s="3"/>
      <c r="D14" s="40"/>
      <c r="E14" s="40"/>
    </row>
    <row x14ac:dyDescent="0.25" r="15" customHeight="1" ht="18.75" customFormat="1" s="1">
      <c r="A15" s="4"/>
      <c r="B15" s="4"/>
      <c r="C15" s="4"/>
      <c r="D15" s="39"/>
      <c r="E15" s="39"/>
    </row>
    <row x14ac:dyDescent="0.25" r="16" customHeight="1" ht="18.75" customFormat="1" s="1">
      <c r="A16" s="3"/>
      <c r="B16" s="3"/>
      <c r="C16" s="3"/>
      <c r="D16" s="40"/>
      <c r="E16" s="40"/>
    </row>
    <row x14ac:dyDescent="0.25" r="17" customHeight="1" ht="18.75" customFormat="1" s="1">
      <c r="A17" s="4"/>
      <c r="B17" s="4"/>
      <c r="C17" s="4"/>
      <c r="D17" s="39"/>
      <c r="E17" s="39"/>
    </row>
    <row x14ac:dyDescent="0.25" r="18" customHeight="1" ht="18.75" customFormat="1" s="1">
      <c r="A18" s="3"/>
      <c r="B18" s="3"/>
      <c r="C18" s="3"/>
      <c r="D18" s="40"/>
      <c r="E18" s="40"/>
    </row>
    <row x14ac:dyDescent="0.25" r="19" customHeight="1" ht="18.75" customFormat="1" s="1">
      <c r="A19" s="4"/>
      <c r="B19" s="4"/>
      <c r="C19" s="4"/>
      <c r="D19" s="39"/>
      <c r="E19" s="39"/>
    </row>
    <row x14ac:dyDescent="0.25" r="20" customHeight="1" ht="18.75" customFormat="1" s="1">
      <c r="A20" s="3"/>
      <c r="B20" s="3"/>
      <c r="C20" s="3"/>
      <c r="D20" s="40"/>
      <c r="E20" s="40"/>
    </row>
    <row x14ac:dyDescent="0.25" r="21" customHeight="1" ht="18.75" customFormat="1" s="1">
      <c r="A21" s="4"/>
      <c r="B21" s="4"/>
      <c r="C21" s="4"/>
      <c r="D21" s="39"/>
      <c r="E21" s="39"/>
    </row>
    <row x14ac:dyDescent="0.25" r="22" customHeight="1" ht="18.75" customFormat="1" s="1">
      <c r="A22" s="3"/>
      <c r="B22" s="3"/>
      <c r="C22" s="3"/>
      <c r="D22" s="40"/>
      <c r="E22" s="40"/>
    </row>
    <row x14ac:dyDescent="0.25" r="23" customHeight="1" ht="18.75" customFormat="1" s="1">
      <c r="A23" s="4"/>
      <c r="B23" s="4"/>
      <c r="C23" s="4"/>
      <c r="D23" s="39"/>
      <c r="E23" s="39"/>
    </row>
    <row x14ac:dyDescent="0.25" r="24" customHeight="1" ht="18.75" customFormat="1" s="1">
      <c r="A24" s="3"/>
      <c r="B24" s="3"/>
      <c r="C24" s="3"/>
      <c r="D24" s="40"/>
      <c r="E24" s="40"/>
    </row>
    <row x14ac:dyDescent="0.25" r="25" customHeight="1" ht="18.75" customFormat="1" s="1">
      <c r="A25" s="4"/>
      <c r="B25" s="4"/>
      <c r="C25" s="4"/>
      <c r="D25" s="39"/>
      <c r="E25" s="39"/>
    </row>
    <row x14ac:dyDescent="0.25" r="26" customHeight="1" ht="18.75" customFormat="1" s="1">
      <c r="A26" s="3"/>
      <c r="B26" s="3"/>
      <c r="C26" s="3"/>
      <c r="D26" s="40"/>
      <c r="E26" s="40"/>
    </row>
    <row x14ac:dyDescent="0.25" r="27" customHeight="1" ht="18.75" customFormat="1" s="1">
      <c r="A27" s="4"/>
      <c r="B27" s="4"/>
      <c r="C27" s="4"/>
      <c r="D27" s="39"/>
      <c r="E27" s="39"/>
    </row>
    <row x14ac:dyDescent="0.25" r="28" customHeight="1" ht="18.75" customFormat="1" s="1">
      <c r="A28" s="3"/>
      <c r="B28" s="3"/>
      <c r="C28" s="3"/>
      <c r="D28" s="40"/>
      <c r="E28" s="40"/>
    </row>
    <row x14ac:dyDescent="0.25" r="29" customHeight="1" ht="18.75" customFormat="1" s="1">
      <c r="A29" s="4"/>
      <c r="B29" s="4"/>
      <c r="C29" s="4"/>
      <c r="D29" s="39"/>
      <c r="E29" s="39"/>
    </row>
    <row x14ac:dyDescent="0.25" r="30" customHeight="1" ht="18.75" customFormat="1" s="1">
      <c r="A30" s="3"/>
      <c r="B30" s="3"/>
      <c r="C30" s="3"/>
      <c r="D30" s="40"/>
      <c r="E30" s="40"/>
    </row>
    <row x14ac:dyDescent="0.25" r="31" customHeight="1" ht="18.75" customFormat="1" s="1">
      <c r="A31" s="4"/>
      <c r="B31" s="4"/>
      <c r="C31" s="4"/>
      <c r="D31" s="39"/>
      <c r="E31" s="39"/>
    </row>
    <row x14ac:dyDescent="0.25" r="32" customHeight="1" ht="18.75" customFormat="1" s="1">
      <c r="A32" s="3"/>
      <c r="B32" s="3"/>
      <c r="C32" s="3"/>
      <c r="D32" s="40"/>
      <c r="E32" s="40"/>
    </row>
    <row x14ac:dyDescent="0.25" r="33" customHeight="1" ht="18.75" customFormat="1" s="1">
      <c r="A33" s="4"/>
      <c r="B33" s="4"/>
      <c r="C33" s="4"/>
      <c r="D33" s="39"/>
      <c r="E33" s="39"/>
    </row>
    <row x14ac:dyDescent="0.25" r="34" customHeight="1" ht="18.75" customFormat="1" s="1">
      <c r="A34" s="3"/>
      <c r="B34" s="3"/>
      <c r="C34" s="3"/>
      <c r="D34" s="40"/>
      <c r="E34" s="40"/>
    </row>
    <row x14ac:dyDescent="0.25" r="35" customHeight="1" ht="18.75" customFormat="1" s="1">
      <c r="A35" s="4"/>
      <c r="B35" s="4"/>
      <c r="C35" s="4"/>
      <c r="D35" s="39"/>
      <c r="E35" s="39"/>
    </row>
    <row x14ac:dyDescent="0.25" r="36" customHeight="1" ht="18.75" customFormat="1" s="1">
      <c r="A36" s="3"/>
      <c r="B36" s="3"/>
      <c r="C36" s="3"/>
      <c r="D36" s="40"/>
      <c r="E36" s="40"/>
    </row>
    <row x14ac:dyDescent="0.25" r="37" customHeight="1" ht="18.75" customFormat="1" s="1">
      <c r="A37" s="4"/>
      <c r="B37" s="4"/>
      <c r="C37" s="4"/>
      <c r="D37" s="39"/>
      <c r="E37" s="39"/>
    </row>
    <row x14ac:dyDescent="0.25" r="38" customHeight="1" ht="18.75" customFormat="1" s="1">
      <c r="A38" s="3"/>
      <c r="B38" s="3"/>
      <c r="C38" s="3"/>
      <c r="D38" s="40"/>
      <c r="E38" s="40"/>
    </row>
    <row x14ac:dyDescent="0.25" r="39" customHeight="1" ht="18.75" customFormat="1" s="1">
      <c r="A39" s="4"/>
      <c r="B39" s="4"/>
      <c r="C39" s="4"/>
      <c r="D39" s="39"/>
      <c r="E39" s="39"/>
    </row>
    <row x14ac:dyDescent="0.25" r="40" customHeight="1" ht="18.75" customFormat="1" s="1">
      <c r="A40" s="3"/>
      <c r="B40" s="3"/>
      <c r="C40" s="3"/>
      <c r="D40" s="40"/>
      <c r="E40" s="40"/>
    </row>
    <row x14ac:dyDescent="0.25" r="41" customHeight="1" ht="18.75" customFormat="1" s="1">
      <c r="A41" s="4"/>
      <c r="B41" s="4"/>
      <c r="C41" s="4"/>
      <c r="D41" s="39"/>
      <c r="E41" s="39"/>
    </row>
    <row x14ac:dyDescent="0.25" r="42" customHeight="1" ht="18.75" customFormat="1" s="1">
      <c r="A42" s="3"/>
      <c r="B42" s="3"/>
      <c r="C42" s="3"/>
      <c r="D42" s="40"/>
      <c r="E42" s="40"/>
    </row>
    <row x14ac:dyDescent="0.25" r="43" customHeight="1" ht="18.75" customFormat="1" s="1">
      <c r="A43" s="4"/>
      <c r="B43" s="4"/>
      <c r="C43" s="4"/>
      <c r="D43" s="39"/>
      <c r="E43" s="39"/>
    </row>
    <row x14ac:dyDescent="0.25" r="44" customHeight="1" ht="18.75" customFormat="1" s="1">
      <c r="A44" s="3"/>
      <c r="B44" s="3"/>
      <c r="C44" s="3"/>
      <c r="D44" s="40"/>
      <c r="E44" s="40"/>
    </row>
    <row x14ac:dyDescent="0.25" r="45" customHeight="1" ht="18.75" customFormat="1" s="1">
      <c r="A45" s="4"/>
      <c r="B45" s="4"/>
      <c r="C45" s="4"/>
      <c r="D45" s="39"/>
      <c r="E45" s="39"/>
    </row>
    <row x14ac:dyDescent="0.25" r="46" customHeight="1" ht="18.75" customFormat="1" s="1">
      <c r="A46" s="3"/>
      <c r="B46" s="3"/>
      <c r="C46" s="3"/>
      <c r="D46" s="40"/>
      <c r="E46" s="40"/>
    </row>
    <row x14ac:dyDescent="0.25" r="47" customHeight="1" ht="18.75" customFormat="1" s="1">
      <c r="A47" s="4"/>
      <c r="B47" s="4"/>
      <c r="C47" s="4"/>
      <c r="D47" s="39"/>
      <c r="E47" s="39"/>
    </row>
    <row x14ac:dyDescent="0.25" r="48" customHeight="1" ht="18.75" customFormat="1" s="1">
      <c r="A48" s="3"/>
      <c r="B48" s="3"/>
      <c r="C48" s="3"/>
      <c r="D48" s="40"/>
      <c r="E48" s="40"/>
    </row>
    <row x14ac:dyDescent="0.25" r="49" customHeight="1" ht="18.75" customFormat="1" s="1">
      <c r="A49" s="4"/>
      <c r="B49" s="4"/>
      <c r="C49" s="4"/>
      <c r="D49" s="39"/>
      <c r="E49" s="39"/>
    </row>
    <row x14ac:dyDescent="0.25" r="50" customHeight="1" ht="18.75" customFormat="1" s="1">
      <c r="A50" s="3"/>
      <c r="B50" s="3"/>
      <c r="C50" s="3"/>
      <c r="D50" s="40"/>
      <c r="E50" s="40"/>
    </row>
    <row x14ac:dyDescent="0.25" r="51" customHeight="1" ht="18.75" customFormat="1" s="1">
      <c r="A51" s="4"/>
      <c r="B51" s="4"/>
      <c r="C51" s="4"/>
      <c r="D51" s="39"/>
      <c r="E51" s="39"/>
    </row>
    <row x14ac:dyDescent="0.25" r="52" customHeight="1" ht="18.75" customFormat="1" s="1">
      <c r="A52" s="3"/>
      <c r="B52" s="3"/>
      <c r="C52" s="3"/>
      <c r="D52" s="40"/>
      <c r="E52" s="40"/>
    </row>
    <row x14ac:dyDescent="0.25" r="53" customHeight="1" ht="18.75" customFormat="1" s="1">
      <c r="A53" s="4"/>
      <c r="B53" s="4"/>
      <c r="C53" s="4"/>
      <c r="D53" s="39"/>
      <c r="E53" s="39"/>
    </row>
    <row x14ac:dyDescent="0.25" r="54" customHeight="1" ht="18.75" customFormat="1" s="1">
      <c r="A54" s="3"/>
      <c r="B54" s="3"/>
      <c r="C54" s="3"/>
      <c r="D54" s="40"/>
      <c r="E54" s="40"/>
    </row>
    <row x14ac:dyDescent="0.25" r="55" customHeight="1" ht="18.75" customFormat="1" s="1">
      <c r="A55" s="4"/>
      <c r="B55" s="4"/>
      <c r="C55" s="4"/>
      <c r="D55" s="39"/>
      <c r="E55" s="39"/>
    </row>
    <row x14ac:dyDescent="0.25" r="56" customHeight="1" ht="18.75" customFormat="1" s="1">
      <c r="A56" s="3"/>
      <c r="B56" s="3"/>
      <c r="C56" s="3"/>
      <c r="D56" s="40"/>
      <c r="E56" s="40"/>
    </row>
    <row x14ac:dyDescent="0.25" r="57" customHeight="1" ht="18.75" customFormat="1" s="1">
      <c r="A57" s="4"/>
      <c r="B57" s="4"/>
      <c r="C57" s="4"/>
      <c r="D57" s="39"/>
      <c r="E57" s="39"/>
    </row>
    <row x14ac:dyDescent="0.25" r="58" customHeight="1" ht="18.75" customFormat="1" s="1">
      <c r="A58" s="3"/>
      <c r="B58" s="3"/>
      <c r="C58" s="3"/>
      <c r="D58" s="40"/>
      <c r="E58" s="40"/>
    </row>
    <row x14ac:dyDescent="0.25" r="59" customHeight="1" ht="18.75" customFormat="1" s="1">
      <c r="A59" s="4"/>
      <c r="B59" s="4"/>
      <c r="C59" s="4"/>
      <c r="D59" s="39"/>
      <c r="E59" s="39"/>
    </row>
    <row x14ac:dyDescent="0.25" r="60" customHeight="1" ht="18.75" customFormat="1" s="1">
      <c r="A60" s="3"/>
      <c r="B60" s="3"/>
      <c r="C60" s="3"/>
      <c r="D60" s="40"/>
      <c r="E60" s="40"/>
    </row>
    <row x14ac:dyDescent="0.25" r="61" customHeight="1" ht="18.75" customFormat="1" s="1">
      <c r="A61" s="4"/>
      <c r="B61" s="4"/>
      <c r="C61" s="4"/>
      <c r="D61" s="39"/>
      <c r="E61" s="39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61"/>
  <sheetViews>
    <sheetView workbookViewId="0"/>
  </sheetViews>
  <sheetFormatPr defaultRowHeight="15" x14ac:dyDescent="0.25"/>
  <cols>
    <col min="1" max="1" style="5" width="12.005" customWidth="1" bestFit="1"/>
    <col min="2" max="2" style="5" width="22.005" customWidth="1" bestFit="1"/>
    <col min="3" max="3" style="5" width="22.005" customWidth="1" bestFit="1"/>
    <col min="4" max="4" style="5" width="34.005" customWidth="1" bestFit="1"/>
    <col min="5" max="5" style="5" width="18.005" customWidth="1" bestFit="1"/>
    <col min="6" max="6" style="5" width="16.005" customWidth="1" bestFit="1"/>
    <col min="7" max="7" style="5" width="24.005" customWidth="1" bestFit="1"/>
    <col min="8" max="8" style="5" width="36.005" customWidth="1" bestFit="1"/>
    <col min="9" max="9" style="5" width="14.005" customWidth="1" bestFit="1"/>
  </cols>
  <sheetData>
    <row x14ac:dyDescent="0.25" r="1" customHeight="1" ht="18.75" customFormat="1" s="1">
      <c r="A1" s="42" t="s">
        <v>1086</v>
      </c>
      <c r="B1" s="7"/>
      <c r="C1" s="7"/>
      <c r="D1" s="7"/>
      <c r="E1" s="7"/>
      <c r="F1" s="7"/>
      <c r="G1" s="7"/>
      <c r="H1" s="7"/>
      <c r="I1" s="7"/>
    </row>
    <row x14ac:dyDescent="0.25" r="2" customHeight="1" ht="18.75" customFormat="1" s="1">
      <c r="A2" s="2" t="s">
        <v>959</v>
      </c>
      <c r="B2" s="2" t="s">
        <v>955</v>
      </c>
      <c r="C2" s="2" t="s">
        <v>960</v>
      </c>
      <c r="D2" s="2" t="s">
        <v>961</v>
      </c>
      <c r="E2" s="2" t="s">
        <v>946</v>
      </c>
      <c r="F2" s="2" t="s">
        <v>947</v>
      </c>
      <c r="G2" s="2" t="s">
        <v>1087</v>
      </c>
      <c r="H2" s="2" t="s">
        <v>962</v>
      </c>
      <c r="I2" s="2" t="s">
        <v>956</v>
      </c>
    </row>
    <row x14ac:dyDescent="0.25" r="3" customHeight="1" ht="18.75" customFormat="1" s="1">
      <c r="A3" s="4"/>
      <c r="B3" s="4"/>
      <c r="C3" s="4"/>
      <c r="D3" s="4"/>
      <c r="E3" s="4"/>
      <c r="F3" s="4"/>
      <c r="G3" s="4"/>
      <c r="H3" s="4"/>
      <c r="I3" s="4"/>
    </row>
    <row x14ac:dyDescent="0.25" r="4" customHeight="1" ht="18.75" customFormat="1" s="1">
      <c r="A4" s="3"/>
      <c r="B4" s="3"/>
      <c r="C4" s="3"/>
      <c r="D4" s="3"/>
      <c r="E4" s="3"/>
      <c r="F4" s="3"/>
      <c r="G4" s="3"/>
      <c r="H4" s="3"/>
      <c r="I4" s="3"/>
    </row>
    <row x14ac:dyDescent="0.25" r="5" customHeight="1" ht="18.75" customFormat="1" s="1">
      <c r="A5" s="4"/>
      <c r="B5" s="4"/>
      <c r="C5" s="4"/>
      <c r="D5" s="4"/>
      <c r="E5" s="4"/>
      <c r="F5" s="4"/>
      <c r="G5" s="4"/>
      <c r="H5" s="4"/>
      <c r="I5" s="4"/>
    </row>
    <row x14ac:dyDescent="0.25" r="6" customHeight="1" ht="18.75" customFormat="1" s="1">
      <c r="A6" s="3"/>
      <c r="B6" s="3"/>
      <c r="C6" s="3"/>
      <c r="D6" s="3"/>
      <c r="E6" s="3"/>
      <c r="F6" s="3"/>
      <c r="G6" s="3"/>
      <c r="H6" s="3"/>
      <c r="I6" s="3"/>
    </row>
    <row x14ac:dyDescent="0.25" r="7" customHeight="1" ht="18.75" customFormat="1" s="1">
      <c r="A7" s="4"/>
      <c r="B7" s="4"/>
      <c r="C7" s="4"/>
      <c r="D7" s="4"/>
      <c r="E7" s="4"/>
      <c r="F7" s="4"/>
      <c r="G7" s="4"/>
      <c r="H7" s="4"/>
      <c r="I7" s="4"/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1"/>
  <sheetViews>
    <sheetView workbookViewId="0"/>
  </sheetViews>
  <sheetFormatPr defaultRowHeight="15" x14ac:dyDescent="0.25"/>
  <cols>
    <col min="1" max="1" style="5" width="12.005" customWidth="1" bestFit="1"/>
    <col min="2" max="2" style="5" width="22.005" customWidth="1" bestFit="1"/>
    <col min="3" max="3" style="5" width="22.005" customWidth="1" bestFit="1"/>
    <col min="4" max="4" style="5" width="18.005" customWidth="1" bestFit="1"/>
    <col min="5" max="5" style="5" width="24.005" customWidth="1" bestFit="1"/>
    <col min="6" max="6" style="5" width="20.005" customWidth="1" bestFit="1"/>
    <col min="7" max="7" style="5" width="20.005" customWidth="1" bestFit="1"/>
    <col min="8" max="8" style="5" width="20.005" customWidth="1" bestFit="1"/>
    <col min="9" max="9" style="5" width="18.005" customWidth="1" bestFit="1"/>
    <col min="10" max="10" style="5" width="34.005" customWidth="1" bestFit="1"/>
  </cols>
  <sheetData>
    <row x14ac:dyDescent="0.25" r="1" customHeight="1" ht="18.75" customFormat="1" s="1">
      <c r="A1" s="42" t="s">
        <v>1080</v>
      </c>
      <c r="B1" s="7"/>
      <c r="C1" s="7"/>
      <c r="D1" s="7"/>
      <c r="E1" s="7"/>
      <c r="F1" s="7"/>
      <c r="G1" s="7"/>
      <c r="H1" s="7"/>
      <c r="I1" s="7"/>
      <c r="J1" s="7"/>
    </row>
    <row x14ac:dyDescent="0.25" r="2" customHeight="1" ht="18.75" customFormat="1" s="1">
      <c r="A2" s="2" t="s">
        <v>959</v>
      </c>
      <c r="B2" s="2" t="s">
        <v>940</v>
      </c>
      <c r="C2" s="2" t="s">
        <v>941</v>
      </c>
      <c r="D2" s="2" t="s">
        <v>1081</v>
      </c>
      <c r="E2" s="2" t="s">
        <v>1082</v>
      </c>
      <c r="F2" s="2" t="s">
        <v>942</v>
      </c>
      <c r="G2" s="2" t="s">
        <v>1083</v>
      </c>
      <c r="H2" s="2" t="s">
        <v>1084</v>
      </c>
      <c r="I2" s="2" t="s">
        <v>1085</v>
      </c>
      <c r="J2" s="2" t="s">
        <v>953</v>
      </c>
    </row>
    <row x14ac:dyDescent="0.25" r="3" customHeight="1" ht="18.75" customFormat="1" s="1">
      <c r="A3" s="4"/>
      <c r="B3" s="4"/>
      <c r="C3" s="4"/>
      <c r="D3" s="4"/>
      <c r="E3" s="4"/>
      <c r="F3" s="4"/>
      <c r="G3" s="4"/>
      <c r="H3" s="4"/>
      <c r="I3" s="4"/>
      <c r="J3" s="4"/>
    </row>
    <row x14ac:dyDescent="0.25" r="4" customHeight="1" ht="18.75" customFormat="1" s="1">
      <c r="A4" s="3"/>
      <c r="B4" s="3"/>
      <c r="C4" s="3"/>
      <c r="D4" s="3"/>
      <c r="E4" s="3"/>
      <c r="F4" s="3"/>
      <c r="G4" s="3"/>
      <c r="H4" s="3"/>
      <c r="I4" s="3"/>
      <c r="J4" s="3"/>
    </row>
    <row x14ac:dyDescent="0.25" r="5" customHeight="1" ht="18.75" customFormat="1" s="1">
      <c r="A5" s="4"/>
      <c r="B5" s="4"/>
      <c r="C5" s="4"/>
      <c r="D5" s="4"/>
      <c r="E5" s="4"/>
      <c r="F5" s="4"/>
      <c r="G5" s="4"/>
      <c r="H5" s="4"/>
      <c r="I5" s="4"/>
      <c r="J5" s="4"/>
    </row>
    <row x14ac:dyDescent="0.25" r="6" customHeight="1" ht="18.75" customFormat="1" s="1">
      <c r="A6" s="3"/>
      <c r="B6" s="3"/>
      <c r="C6" s="3"/>
      <c r="D6" s="3"/>
      <c r="E6" s="3"/>
      <c r="F6" s="3"/>
      <c r="G6" s="3"/>
      <c r="H6" s="3"/>
      <c r="I6" s="3"/>
      <c r="J6" s="3"/>
    </row>
    <row x14ac:dyDescent="0.25" r="7" customHeight="1" ht="18.75" customFormat="1" s="1">
      <c r="A7" s="4"/>
      <c r="B7" s="4"/>
      <c r="C7" s="4"/>
      <c r="D7" s="4"/>
      <c r="E7" s="4"/>
      <c r="F7" s="4"/>
      <c r="G7" s="4"/>
      <c r="H7" s="4"/>
      <c r="I7" s="4"/>
      <c r="J7" s="4"/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  <c r="J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  <c r="J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  <c r="J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  <c r="J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  <c r="J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  <c r="J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  <c r="J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  <c r="J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  <c r="J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  <c r="J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  <c r="J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  <c r="J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  <c r="J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  <c r="J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  <c r="J61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61"/>
  <sheetViews>
    <sheetView workbookViewId="0"/>
  </sheetViews>
  <sheetFormatPr defaultRowHeight="15" x14ac:dyDescent="0.25"/>
  <cols>
    <col min="1" max="1" style="5" width="12.005" customWidth="1" bestFit="1"/>
    <col min="2" max="2" style="5" width="24.005" customWidth="1" bestFit="1"/>
    <col min="3" max="3" style="5" width="14.005" customWidth="1" bestFit="1"/>
    <col min="4" max="4" style="5" width="14.005" customWidth="1" bestFit="1"/>
    <col min="5" max="5" style="5" width="24.005" customWidth="1" bestFit="1"/>
    <col min="6" max="6" style="5" width="12.005" customWidth="1" bestFit="1"/>
    <col min="7" max="7" style="5" width="10.005" customWidth="1" bestFit="1"/>
    <col min="8" max="8" style="5" width="26.005" customWidth="1" bestFit="1"/>
    <col min="9" max="9" style="5" width="26.005" customWidth="1" bestFit="1"/>
    <col min="10" max="10" style="5" width="26.005" customWidth="1" bestFit="1"/>
    <col min="11" max="11" style="5" width="24.005" customWidth="1" bestFit="1"/>
    <col min="12" max="12" style="5" width="28.005" customWidth="1" bestFit="1"/>
    <col min="13" max="13" style="5" width="18.005" customWidth="1" bestFit="1"/>
    <col min="14" max="14" style="5" width="16.005" customWidth="1" bestFit="1"/>
    <col min="15" max="15" style="5" width="34.005" customWidth="1" bestFit="1"/>
    <col min="16" max="16" style="5" width="34.005" customWidth="1" bestFit="1"/>
    <col min="17" max="17" style="5" width="30.005" customWidth="1" bestFit="1"/>
    <col min="18" max="18" style="5" width="12.005" customWidth="1" bestFit="1"/>
    <col min="19" max="19" style="5" width="12.005" customWidth="1" bestFit="1"/>
    <col min="20" max="20" style="5" width="12.005" customWidth="1" bestFit="1"/>
    <col min="21" max="21" style="5" width="20.005" customWidth="1" bestFit="1"/>
    <col min="22" max="22" style="5" width="24.005" customWidth="1" bestFit="1"/>
    <col min="23" max="23" style="5" width="20.005" customWidth="1" bestFit="1"/>
    <col min="24" max="24" style="5" width="10.005" customWidth="1" bestFit="1"/>
    <col min="25" max="25" style="5" width="16.005" customWidth="1" bestFit="1"/>
    <col min="26" max="26" style="5" width="18.005" customWidth="1" bestFit="1"/>
    <col min="27" max="27" style="5" width="18.005" customWidth="1" bestFit="1"/>
    <col min="28" max="28" style="5" width="18.005" customWidth="1" bestFit="1"/>
    <col min="29" max="29" style="5" width="16.005" customWidth="1" bestFit="1"/>
    <col min="30" max="30" style="5" width="12.005" customWidth="1" bestFit="1"/>
    <col min="31" max="31" style="5" width="18.005" customWidth="1" bestFit="1"/>
    <col min="32" max="32" style="5" width="20.005" customWidth="1" bestFit="1"/>
    <col min="33" max="33" style="5" width="20.005" customWidth="1" bestFit="1"/>
    <col min="34" max="34" style="5" width="12.005" customWidth="1" bestFit="1"/>
    <col min="35" max="35" style="5" width="12.005" customWidth="1" bestFit="1"/>
    <col min="36" max="36" style="5" width="12.005" customWidth="1" bestFit="1"/>
    <col min="37" max="37" style="5" width="12.005" customWidth="1" bestFit="1"/>
    <col min="38" max="38" style="5" width="36.005" customWidth="1" bestFit="1"/>
  </cols>
  <sheetData>
    <row x14ac:dyDescent="0.25" r="1" customHeight="1" ht="18.75" customFormat="1" s="1">
      <c r="A1" s="42" t="s">
        <v>1046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</row>
    <row x14ac:dyDescent="0.25" r="2" customHeight="1" ht="18.75" customFormat="1" s="1">
      <c r="A2" s="2" t="s">
        <v>959</v>
      </c>
      <c r="B2" s="2" t="s">
        <v>1047</v>
      </c>
      <c r="C2" s="2" t="s">
        <v>1048</v>
      </c>
      <c r="D2" s="2" t="s">
        <v>1049</v>
      </c>
      <c r="E2" s="2" t="s">
        <v>1050</v>
      </c>
      <c r="F2" s="2" t="s">
        <v>1051</v>
      </c>
      <c r="G2" s="2" t="s">
        <v>1052</v>
      </c>
      <c r="H2" s="2" t="s">
        <v>1053</v>
      </c>
      <c r="I2" s="2" t="s">
        <v>1054</v>
      </c>
      <c r="J2" s="2" t="s">
        <v>1055</v>
      </c>
      <c r="K2" s="2" t="s">
        <v>1056</v>
      </c>
      <c r="L2" s="2" t="s">
        <v>1057</v>
      </c>
      <c r="M2" s="2" t="s">
        <v>946</v>
      </c>
      <c r="N2" s="2" t="s">
        <v>947</v>
      </c>
      <c r="O2" s="2" t="s">
        <v>1058</v>
      </c>
      <c r="P2" s="2" t="s">
        <v>1059</v>
      </c>
      <c r="Q2" s="2" t="s">
        <v>1060</v>
      </c>
      <c r="R2" s="2" t="s">
        <v>1061</v>
      </c>
      <c r="S2" s="2" t="s">
        <v>1062</v>
      </c>
      <c r="T2" s="2" t="s">
        <v>1063</v>
      </c>
      <c r="U2" s="2" t="s">
        <v>978</v>
      </c>
      <c r="V2" s="2" t="s">
        <v>1064</v>
      </c>
      <c r="W2" s="2" t="s">
        <v>1065</v>
      </c>
      <c r="X2" s="2" t="s">
        <v>1066</v>
      </c>
      <c r="Y2" s="2" t="s">
        <v>1067</v>
      </c>
      <c r="Z2" s="2" t="s">
        <v>1068</v>
      </c>
      <c r="AA2" s="2" t="s">
        <v>1069</v>
      </c>
      <c r="AB2" s="2" t="s">
        <v>1070</v>
      </c>
      <c r="AC2" s="2" t="s">
        <v>1071</v>
      </c>
      <c r="AD2" s="2" t="s">
        <v>1072</v>
      </c>
      <c r="AE2" s="2" t="s">
        <v>1073</v>
      </c>
      <c r="AF2" s="2" t="s">
        <v>1074</v>
      </c>
      <c r="AG2" s="2" t="s">
        <v>1075</v>
      </c>
      <c r="AH2" s="2" t="s">
        <v>1076</v>
      </c>
      <c r="AI2" s="2" t="s">
        <v>1077</v>
      </c>
      <c r="AJ2" s="2" t="s">
        <v>1078</v>
      </c>
      <c r="AK2" s="2" t="s">
        <v>1079</v>
      </c>
      <c r="AL2" s="2" t="s">
        <v>953</v>
      </c>
    </row>
    <row x14ac:dyDescent="0.25" r="3" customHeight="1" ht="18.75" customFormat="1" s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x14ac:dyDescent="0.25" r="4" customHeight="1" ht="18.75" customFormat="1" s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x14ac:dyDescent="0.25" r="5" customHeight="1" ht="18.75" customFormat="1" s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</row>
    <row x14ac:dyDescent="0.25" r="6" customHeight="1" ht="18.75" customFormat="1" s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x14ac:dyDescent="0.25" r="7" customHeight="1" ht="18.75" customFormat="1" s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</sheetData>
  <mergeCells count="1">
    <mergeCell ref="A1:AL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1"/>
  <sheetViews>
    <sheetView workbookViewId="0"/>
  </sheetViews>
  <sheetFormatPr defaultRowHeight="15" x14ac:dyDescent="0.25"/>
  <cols>
    <col min="1" max="1" style="5" width="32.005" customWidth="1" bestFit="1"/>
    <col min="2" max="2" style="5" width="20.005" customWidth="1" bestFit="1"/>
    <col min="3" max="3" style="5" width="24.005" customWidth="1" bestFit="1"/>
    <col min="4" max="4" style="5" width="14.005" customWidth="1" bestFit="1"/>
    <col min="5" max="5" style="5" width="24.005" customWidth="1" bestFit="1"/>
    <col min="6" max="6" style="5" width="40.005" customWidth="1" bestFit="1"/>
    <col min="7" max="7" style="5" width="32.005" customWidth="1" bestFit="1"/>
    <col min="8" max="8" style="5" width="24.005" customWidth="1" bestFit="1"/>
    <col min="9" max="9" style="5" width="20.005" customWidth="1" bestFit="1"/>
    <col min="10" max="10" style="5" width="34.005" customWidth="1" bestFit="1"/>
  </cols>
  <sheetData>
    <row x14ac:dyDescent="0.25" r="1" customHeight="1" ht="18.75" customFormat="1" s="1">
      <c r="A1" s="42" t="s">
        <v>1037</v>
      </c>
      <c r="B1" s="7"/>
      <c r="C1" s="7"/>
      <c r="D1" s="7"/>
      <c r="E1" s="7"/>
      <c r="F1" s="7"/>
      <c r="G1" s="7"/>
      <c r="H1" s="7"/>
      <c r="I1" s="7"/>
      <c r="J1" s="7"/>
    </row>
    <row x14ac:dyDescent="0.25" r="2" customHeight="1" ht="18.75" customFormat="1" s="1">
      <c r="A2" s="2" t="s">
        <v>1038</v>
      </c>
      <c r="B2" s="2" t="s">
        <v>1039</v>
      </c>
      <c r="C2" s="2" t="s">
        <v>944</v>
      </c>
      <c r="D2" s="2" t="s">
        <v>956</v>
      </c>
      <c r="E2" s="2" t="s">
        <v>1040</v>
      </c>
      <c r="F2" s="2" t="s">
        <v>1041</v>
      </c>
      <c r="G2" s="2" t="s">
        <v>1042</v>
      </c>
      <c r="H2" s="2" t="s">
        <v>1043</v>
      </c>
      <c r="I2" s="2" t="s">
        <v>1044</v>
      </c>
      <c r="J2" s="2" t="s">
        <v>953</v>
      </c>
    </row>
    <row x14ac:dyDescent="0.25" r="3" customHeight="1" ht="18.75" customFormat="1" s="1">
      <c r="A3" s="4"/>
      <c r="B3" s="4"/>
      <c r="C3" s="4"/>
      <c r="D3" s="4"/>
      <c r="E3" s="4"/>
      <c r="F3" s="4"/>
      <c r="G3" s="4"/>
      <c r="H3" s="4"/>
      <c r="I3" s="4"/>
      <c r="J3" s="4" t="s">
        <v>1045</v>
      </c>
    </row>
    <row x14ac:dyDescent="0.25" r="4" customHeight="1" ht="18.75" customFormat="1" s="1">
      <c r="A4" s="3"/>
      <c r="B4" s="3"/>
      <c r="C4" s="3"/>
      <c r="D4" s="3"/>
      <c r="E4" s="3"/>
      <c r="F4" s="3"/>
      <c r="G4" s="3"/>
      <c r="H4" s="3"/>
      <c r="I4" s="3"/>
      <c r="J4" s="3"/>
    </row>
    <row x14ac:dyDescent="0.25" r="5" customHeight="1" ht="18.75" customFormat="1" s="1">
      <c r="A5" s="4"/>
      <c r="B5" s="4"/>
      <c r="C5" s="4"/>
      <c r="D5" s="4"/>
      <c r="E5" s="4"/>
      <c r="F5" s="4"/>
      <c r="G5" s="4"/>
      <c r="H5" s="4"/>
      <c r="I5" s="4"/>
      <c r="J5" s="4"/>
    </row>
    <row x14ac:dyDescent="0.25" r="6" customHeight="1" ht="18.75" customFormat="1" s="1">
      <c r="A6" s="3"/>
      <c r="B6" s="3"/>
      <c r="C6" s="3"/>
      <c r="D6" s="3"/>
      <c r="E6" s="3"/>
      <c r="F6" s="3"/>
      <c r="G6" s="3"/>
      <c r="H6" s="3"/>
      <c r="I6" s="3"/>
      <c r="J6" s="3"/>
    </row>
    <row x14ac:dyDescent="0.25" r="7" customHeight="1" ht="18.75" customFormat="1" s="1">
      <c r="A7" s="4"/>
      <c r="B7" s="4"/>
      <c r="C7" s="4"/>
      <c r="D7" s="4"/>
      <c r="E7" s="4"/>
      <c r="F7" s="4"/>
      <c r="G7" s="4"/>
      <c r="H7" s="4"/>
      <c r="I7" s="4"/>
      <c r="J7" s="4"/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  <c r="J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  <c r="J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  <c r="J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  <c r="J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  <c r="J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  <c r="J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  <c r="J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  <c r="J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  <c r="J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  <c r="J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  <c r="J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  <c r="J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  <c r="J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  <c r="J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  <c r="J61" s="4"/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1"/>
  <sheetViews>
    <sheetView workbookViewId="0"/>
  </sheetViews>
  <sheetFormatPr defaultRowHeight="15" x14ac:dyDescent="0.25"/>
  <cols>
    <col min="1" max="1" style="5" width="22.005" customWidth="1" bestFit="1"/>
    <col min="2" max="2" style="5" width="34.005" customWidth="1" bestFit="1"/>
    <col min="3" max="3" style="5" width="12.005" customWidth="1" bestFit="1"/>
    <col min="4" max="4" style="5" width="12.005" customWidth="1" bestFit="1"/>
    <col min="5" max="5" style="5" width="14.005" customWidth="1" bestFit="1"/>
    <col min="6" max="6" style="5" width="12.005" customWidth="1" bestFit="1"/>
    <col min="7" max="7" style="5" width="46.005" customWidth="1" bestFit="1"/>
  </cols>
  <sheetData>
    <row x14ac:dyDescent="0.25" r="1" customHeight="1" ht="18.75" customFormat="1" s="1">
      <c r="A1" s="42" t="s">
        <v>1001</v>
      </c>
      <c r="B1" s="7"/>
      <c r="C1" s="7"/>
      <c r="D1" s="7"/>
      <c r="E1" s="7"/>
      <c r="F1" s="7"/>
      <c r="G1" s="7"/>
    </row>
    <row x14ac:dyDescent="0.25" r="2" customHeight="1" ht="18.75" customFormat="1" s="1">
      <c r="A2" s="2" t="s">
        <v>1002</v>
      </c>
      <c r="B2" s="2" t="s">
        <v>1003</v>
      </c>
      <c r="C2" s="2" t="s">
        <v>1004</v>
      </c>
      <c r="D2" s="2" t="s">
        <v>1005</v>
      </c>
      <c r="E2" s="2" t="s">
        <v>1006</v>
      </c>
      <c r="F2" s="2" t="s">
        <v>1007</v>
      </c>
      <c r="G2" s="2" t="s">
        <v>953</v>
      </c>
    </row>
    <row x14ac:dyDescent="0.25" r="3" customHeight="1" ht="18.75" customFormat="1" s="1">
      <c r="A3" s="4" t="s">
        <v>1008</v>
      </c>
      <c r="B3" s="4" t="s">
        <v>239</v>
      </c>
      <c r="C3" s="4" t="s">
        <v>1009</v>
      </c>
      <c r="D3" s="4" t="s">
        <v>60</v>
      </c>
      <c r="E3" s="4" t="s">
        <v>1010</v>
      </c>
      <c r="F3" s="4" t="s">
        <v>62</v>
      </c>
      <c r="G3" s="4" t="s">
        <v>1011</v>
      </c>
    </row>
    <row x14ac:dyDescent="0.25" r="4" customHeight="1" ht="18.75" customFormat="1" s="1">
      <c r="A4" s="3" t="s">
        <v>1012</v>
      </c>
      <c r="B4" s="3" t="s">
        <v>1013</v>
      </c>
      <c r="C4" s="3" t="s">
        <v>1009</v>
      </c>
      <c r="D4" s="3" t="s">
        <v>60</v>
      </c>
      <c r="E4" s="3" t="s">
        <v>1010</v>
      </c>
      <c r="F4" s="3" t="s">
        <v>62</v>
      </c>
      <c r="G4" s="3" t="s">
        <v>1014</v>
      </c>
    </row>
    <row x14ac:dyDescent="0.25" r="5" customHeight="1" ht="18.75" customFormat="1" s="1">
      <c r="A5" s="4" t="s">
        <v>1015</v>
      </c>
      <c r="B5" s="4" t="s">
        <v>1016</v>
      </c>
      <c r="C5" s="4" t="s">
        <v>1009</v>
      </c>
      <c r="D5" s="4" t="s">
        <v>60</v>
      </c>
      <c r="E5" s="4" t="s">
        <v>1010</v>
      </c>
      <c r="F5" s="4" t="s">
        <v>62</v>
      </c>
      <c r="G5" s="4" t="s">
        <v>1017</v>
      </c>
    </row>
    <row x14ac:dyDescent="0.25" r="6" customHeight="1" ht="18.75" customFormat="1" s="1">
      <c r="A6" s="3" t="s">
        <v>1018</v>
      </c>
      <c r="B6" s="3" t="s">
        <v>1019</v>
      </c>
      <c r="C6" s="3" t="s">
        <v>1009</v>
      </c>
      <c r="D6" s="3" t="s">
        <v>60</v>
      </c>
      <c r="E6" s="3" t="s">
        <v>1010</v>
      </c>
      <c r="F6" s="3" t="s">
        <v>62</v>
      </c>
      <c r="G6" s="3" t="s">
        <v>1020</v>
      </c>
    </row>
    <row x14ac:dyDescent="0.25" r="7" customHeight="1" ht="18.75" customFormat="1" s="1">
      <c r="A7" s="4" t="s">
        <v>1021</v>
      </c>
      <c r="B7" s="4" t="s">
        <v>247</v>
      </c>
      <c r="C7" s="4" t="s">
        <v>1009</v>
      </c>
      <c r="D7" s="4" t="s">
        <v>60</v>
      </c>
      <c r="E7" s="4" t="s">
        <v>1010</v>
      </c>
      <c r="F7" s="4" t="s">
        <v>62</v>
      </c>
      <c r="G7" s="4" t="s">
        <v>1022</v>
      </c>
    </row>
    <row x14ac:dyDescent="0.25" r="8" customHeight="1" ht="18.75" customFormat="1" s="1">
      <c r="A8" s="3" t="s">
        <v>1023</v>
      </c>
      <c r="B8" s="3" t="s">
        <v>1024</v>
      </c>
      <c r="C8" s="3" t="s">
        <v>1009</v>
      </c>
      <c r="D8" s="3" t="s">
        <v>60</v>
      </c>
      <c r="E8" s="3" t="s">
        <v>1010</v>
      </c>
      <c r="F8" s="3" t="s">
        <v>62</v>
      </c>
      <c r="G8" s="3" t="s">
        <v>1025</v>
      </c>
    </row>
    <row x14ac:dyDescent="0.25" r="9" customHeight="1" ht="18.75" customFormat="1" s="1">
      <c r="A9" s="4" t="s">
        <v>1026</v>
      </c>
      <c r="B9" s="4" t="s">
        <v>982</v>
      </c>
      <c r="C9" s="4" t="s">
        <v>1009</v>
      </c>
      <c r="D9" s="4" t="s">
        <v>60</v>
      </c>
      <c r="E9" s="4" t="s">
        <v>1010</v>
      </c>
      <c r="F9" s="4" t="s">
        <v>62</v>
      </c>
      <c r="G9" s="4" t="s">
        <v>1027</v>
      </c>
    </row>
    <row x14ac:dyDescent="0.25" r="10" customHeight="1" ht="18.75" customFormat="1" s="1">
      <c r="A10" s="3" t="s">
        <v>1028</v>
      </c>
      <c r="B10" s="3" t="s">
        <v>1029</v>
      </c>
      <c r="C10" s="3" t="s">
        <v>1009</v>
      </c>
      <c r="D10" s="3" t="s">
        <v>60</v>
      </c>
      <c r="E10" s="3" t="s">
        <v>1010</v>
      </c>
      <c r="F10" s="3" t="s">
        <v>62</v>
      </c>
      <c r="G10" s="3" t="s">
        <v>1030</v>
      </c>
    </row>
    <row x14ac:dyDescent="0.25" r="11" customHeight="1" ht="18.75" customFormat="1" s="1">
      <c r="A11" s="4" t="s">
        <v>1031</v>
      </c>
      <c r="B11" s="4" t="s">
        <v>1032</v>
      </c>
      <c r="C11" s="4" t="s">
        <v>1009</v>
      </c>
      <c r="D11" s="4" t="s">
        <v>69</v>
      </c>
      <c r="E11" s="4" t="s">
        <v>1010</v>
      </c>
      <c r="F11" s="4" t="s">
        <v>62</v>
      </c>
      <c r="G11" s="4" t="s">
        <v>1033</v>
      </c>
    </row>
    <row x14ac:dyDescent="0.25" r="12" customHeight="1" ht="18.75" customFormat="1" s="1">
      <c r="A12" s="3" t="s">
        <v>1034</v>
      </c>
      <c r="B12" s="3" t="s">
        <v>1035</v>
      </c>
      <c r="C12" s="3" t="s">
        <v>1009</v>
      </c>
      <c r="D12" s="3" t="s">
        <v>69</v>
      </c>
      <c r="E12" s="3" t="s">
        <v>1010</v>
      </c>
      <c r="F12" s="3" t="s">
        <v>62</v>
      </c>
      <c r="G12" s="3" t="s">
        <v>1036</v>
      </c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1"/>
  <sheetViews>
    <sheetView workbookViewId="0"/>
  </sheetViews>
  <sheetFormatPr defaultRowHeight="15" x14ac:dyDescent="0.25"/>
  <cols>
    <col min="1" max="1" style="5" width="8.005" customWidth="1" bestFit="1"/>
    <col min="2" max="2" style="5" width="34.005" customWidth="1" bestFit="1"/>
    <col min="3" max="3" style="5" width="18.005" customWidth="1" bestFit="1"/>
    <col min="4" max="4" style="5" width="18.005" customWidth="1" bestFit="1"/>
    <col min="5" max="5" style="5" width="20.005" customWidth="1" bestFit="1"/>
    <col min="6" max="6" style="5" width="20.005" customWidth="1" bestFit="1"/>
    <col min="7" max="7" style="5" width="14.005" customWidth="1" bestFit="1"/>
    <col min="8" max="8" style="5" width="28.005" customWidth="1" bestFit="1"/>
  </cols>
  <sheetData>
    <row x14ac:dyDescent="0.25" r="1" customHeight="1" ht="18.75" customFormat="1" s="1">
      <c r="A1" s="42" t="s">
        <v>973</v>
      </c>
      <c r="B1" s="7"/>
      <c r="C1" s="7"/>
      <c r="D1" s="7"/>
      <c r="E1" s="7"/>
      <c r="F1" s="7"/>
      <c r="G1" s="7"/>
      <c r="H1" s="7"/>
    </row>
    <row x14ac:dyDescent="0.25" r="2" customHeight="1" ht="18.75" customFormat="1" s="1">
      <c r="A2" s="2" t="s">
        <v>974</v>
      </c>
      <c r="B2" s="2" t="s">
        <v>975</v>
      </c>
      <c r="C2" s="2" t="s">
        <v>976</v>
      </c>
      <c r="D2" s="2" t="s">
        <v>977</v>
      </c>
      <c r="E2" s="2" t="s">
        <v>978</v>
      </c>
      <c r="F2" s="2" t="s">
        <v>979</v>
      </c>
      <c r="G2" s="2" t="s">
        <v>956</v>
      </c>
      <c r="H2" s="2" t="s">
        <v>953</v>
      </c>
    </row>
    <row x14ac:dyDescent="0.25" r="3" customHeight="1" ht="18.75" customFormat="1" s="1">
      <c r="A3" s="4" t="s">
        <v>980</v>
      </c>
      <c r="B3" s="4" t="s">
        <v>981</v>
      </c>
      <c r="C3" s="4" t="s">
        <v>221</v>
      </c>
      <c r="D3" s="4" t="s">
        <v>431</v>
      </c>
      <c r="E3" s="4" t="s">
        <v>982</v>
      </c>
      <c r="F3" s="4" t="s">
        <v>983</v>
      </c>
      <c r="G3" s="4" t="s">
        <v>223</v>
      </c>
      <c r="H3" s="4"/>
    </row>
    <row x14ac:dyDescent="0.25" r="4" customHeight="1" ht="18.75" customFormat="1" s="1">
      <c r="A4" s="3" t="s">
        <v>984</v>
      </c>
      <c r="B4" s="3" t="s">
        <v>985</v>
      </c>
      <c r="C4" s="3" t="s">
        <v>257</v>
      </c>
      <c r="D4" s="3" t="s">
        <v>577</v>
      </c>
      <c r="E4" s="3" t="s">
        <v>982</v>
      </c>
      <c r="F4" s="3" t="s">
        <v>986</v>
      </c>
      <c r="G4" s="3" t="s">
        <v>223</v>
      </c>
      <c r="H4" s="3"/>
    </row>
    <row x14ac:dyDescent="0.25" r="5" customHeight="1" ht="18.75" customFormat="1" s="1">
      <c r="A5" s="4" t="s">
        <v>987</v>
      </c>
      <c r="B5" s="4" t="s">
        <v>988</v>
      </c>
      <c r="C5" s="4" t="s">
        <v>301</v>
      </c>
      <c r="D5" s="4" t="s">
        <v>989</v>
      </c>
      <c r="E5" s="4" t="s">
        <v>982</v>
      </c>
      <c r="F5" s="4" t="s">
        <v>990</v>
      </c>
      <c r="G5" s="4" t="s">
        <v>223</v>
      </c>
      <c r="H5" s="4"/>
    </row>
    <row x14ac:dyDescent="0.25" r="6" customHeight="1" ht="18.75" customFormat="1" s="1">
      <c r="A6" s="3" t="s">
        <v>991</v>
      </c>
      <c r="B6" s="3" t="s">
        <v>992</v>
      </c>
      <c r="C6" s="3" t="s">
        <v>393</v>
      </c>
      <c r="D6" s="3" t="s">
        <v>993</v>
      </c>
      <c r="E6" s="3" t="s">
        <v>982</v>
      </c>
      <c r="F6" s="3" t="s">
        <v>994</v>
      </c>
      <c r="G6" s="3" t="s">
        <v>223</v>
      </c>
      <c r="H6" s="3" t="s">
        <v>995</v>
      </c>
    </row>
    <row x14ac:dyDescent="0.25" r="7" customHeight="1" ht="18.75" customFormat="1" s="1">
      <c r="A7" s="4" t="s">
        <v>996</v>
      </c>
      <c r="B7" s="4" t="s">
        <v>997</v>
      </c>
      <c r="C7" s="4" t="s">
        <v>998</v>
      </c>
      <c r="D7" s="4" t="s">
        <v>999</v>
      </c>
      <c r="E7" s="4" t="s">
        <v>982</v>
      </c>
      <c r="F7" s="4" t="s">
        <v>1000</v>
      </c>
      <c r="G7" s="4" t="s">
        <v>223</v>
      </c>
      <c r="H7" s="4"/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61"/>
  <sheetViews>
    <sheetView workbookViewId="0"/>
  </sheetViews>
  <sheetFormatPr defaultRowHeight="15" x14ac:dyDescent="0.25"/>
  <cols>
    <col min="1" max="1" style="5" width="12.005" customWidth="1" bestFit="1"/>
    <col min="2" max="2" style="5" width="20.005" customWidth="1" bestFit="1"/>
    <col min="3" max="3" style="5" width="22.005" customWidth="1" bestFit="1"/>
    <col min="4" max="4" style="5" width="18.005" customWidth="1" bestFit="1"/>
    <col min="5" max="5" style="5" width="20.005" customWidth="1" bestFit="1"/>
    <col min="6" max="6" style="5" width="14.005" customWidth="1" bestFit="1"/>
    <col min="7" max="7" style="5" width="16.005" customWidth="1" bestFit="1"/>
    <col min="8" max="8" style="5" width="34.005" customWidth="1" bestFit="1"/>
  </cols>
  <sheetData>
    <row x14ac:dyDescent="0.25" r="1" customHeight="1" ht="18.75" customFormat="1" s="1">
      <c r="A1" s="42" t="s">
        <v>963</v>
      </c>
      <c r="B1" s="7"/>
      <c r="C1" s="7"/>
      <c r="D1" s="7"/>
      <c r="E1" s="7"/>
      <c r="F1" s="7"/>
      <c r="G1" s="7"/>
      <c r="H1" s="7"/>
    </row>
    <row x14ac:dyDescent="0.25" r="2" customHeight="1" ht="18.75" customFormat="1" s="1">
      <c r="A2" s="2" t="s">
        <v>964</v>
      </c>
      <c r="B2" s="2" t="s">
        <v>965</v>
      </c>
      <c r="C2" s="2" t="s">
        <v>966</v>
      </c>
      <c r="D2" s="2" t="s">
        <v>967</v>
      </c>
      <c r="E2" s="2" t="s">
        <v>968</v>
      </c>
      <c r="F2" s="2" t="s">
        <v>956</v>
      </c>
      <c r="G2" s="2" t="s">
        <v>969</v>
      </c>
      <c r="H2" s="2" t="s">
        <v>953</v>
      </c>
    </row>
    <row x14ac:dyDescent="0.25" r="3" customHeight="1" ht="18.75" customFormat="1" s="1">
      <c r="A3" s="4" t="s">
        <v>970</v>
      </c>
      <c r="B3" s="4"/>
      <c r="C3" s="4" t="s">
        <v>971</v>
      </c>
      <c r="D3" s="4"/>
      <c r="E3" s="4"/>
      <c r="F3" s="4" t="s">
        <v>263</v>
      </c>
      <c r="G3" s="4"/>
      <c r="H3" s="4" t="s">
        <v>972</v>
      </c>
    </row>
    <row x14ac:dyDescent="0.25" r="4" customHeight="1" ht="18.75" customFormat="1" s="1">
      <c r="A4" s="3"/>
      <c r="B4" s="3"/>
      <c r="C4" s="3"/>
      <c r="D4" s="3"/>
      <c r="E4" s="3"/>
      <c r="F4" s="3"/>
      <c r="G4" s="3"/>
      <c r="H4" s="3"/>
    </row>
    <row x14ac:dyDescent="0.25" r="5" customHeight="1" ht="18.75" customFormat="1" s="1">
      <c r="A5" s="4"/>
      <c r="B5" s="4"/>
      <c r="C5" s="4"/>
      <c r="D5" s="4"/>
      <c r="E5" s="4"/>
      <c r="F5" s="4"/>
      <c r="G5" s="4"/>
      <c r="H5" s="4"/>
    </row>
    <row x14ac:dyDescent="0.25" r="6" customHeight="1" ht="18.75" customFormat="1" s="1">
      <c r="A6" s="3"/>
      <c r="B6" s="3"/>
      <c r="C6" s="3"/>
      <c r="D6" s="3"/>
      <c r="E6" s="3"/>
      <c r="F6" s="3"/>
      <c r="G6" s="3"/>
      <c r="H6" s="3"/>
    </row>
    <row x14ac:dyDescent="0.25" r="7" customHeight="1" ht="18.75" customFormat="1" s="1">
      <c r="A7" s="4"/>
      <c r="B7" s="4"/>
      <c r="C7" s="4"/>
      <c r="D7" s="4"/>
      <c r="E7" s="4"/>
      <c r="F7" s="4"/>
      <c r="G7" s="4"/>
      <c r="H7" s="4"/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1"/>
  <sheetViews>
    <sheetView workbookViewId="0"/>
  </sheetViews>
  <sheetFormatPr defaultRowHeight="15" x14ac:dyDescent="0.25"/>
  <cols>
    <col min="1" max="1" style="5" width="22.005" customWidth="1" bestFit="1"/>
    <col min="2" max="2" style="5" width="14.005" customWidth="1" bestFit="1"/>
    <col min="3" max="3" style="5" width="24.005" customWidth="1" bestFit="1"/>
    <col min="4" max="4" style="5" width="14.005" customWidth="1" bestFit="1"/>
    <col min="5" max="5" style="5" width="22.005" customWidth="1" bestFit="1"/>
    <col min="6" max="6" style="5" width="18.005" customWidth="1" bestFit="1"/>
    <col min="7" max="7" style="5" width="34.005" customWidth="1" bestFit="1"/>
    <col min="8" max="8" style="5" width="34.005" customWidth="1" bestFit="1"/>
    <col min="9" max="9" style="5" width="28.005" customWidth="1" bestFit="1"/>
    <col min="10" max="10" style="5" width="30.005" customWidth="1" bestFit="1"/>
    <col min="11" max="11" style="5" width="12.005" customWidth="1" bestFit="1"/>
    <col min="12" max="12" style="5" width="22.005" customWidth="1" bestFit="1"/>
    <col min="13" max="13" style="5" width="34.005" customWidth="1" bestFit="1"/>
    <col min="14" max="14" style="5" width="34.005" customWidth="1" bestFit="1"/>
  </cols>
  <sheetData>
    <row x14ac:dyDescent="0.25" r="1" customHeight="1" ht="18.75" customFormat="1" s="1">
      <c r="A1" s="42" t="s">
        <v>954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x14ac:dyDescent="0.25" r="2" customHeight="1" ht="18.75" customFormat="1" s="1">
      <c r="A2" s="2" t="s">
        <v>955</v>
      </c>
      <c r="B2" s="2" t="s">
        <v>945</v>
      </c>
      <c r="C2" s="2" t="s">
        <v>944</v>
      </c>
      <c r="D2" s="2" t="s">
        <v>956</v>
      </c>
      <c r="E2" s="2" t="s">
        <v>942</v>
      </c>
      <c r="F2" s="2" t="s">
        <v>943</v>
      </c>
      <c r="G2" s="2" t="s">
        <v>952</v>
      </c>
      <c r="H2" s="2" t="s">
        <v>957</v>
      </c>
      <c r="I2" s="2" t="s">
        <v>958</v>
      </c>
      <c r="J2" s="2" t="s">
        <v>953</v>
      </c>
      <c r="K2" s="2" t="s">
        <v>959</v>
      </c>
      <c r="L2" s="2" t="s">
        <v>960</v>
      </c>
      <c r="M2" s="2" t="s">
        <v>961</v>
      </c>
      <c r="N2" s="2" t="s">
        <v>962</v>
      </c>
    </row>
    <row x14ac:dyDescent="0.25" r="3" customHeight="1" ht="18.75" customFormat="1" s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x14ac:dyDescent="0.25" r="4" customHeight="1" ht="18.75" customFormat="1" s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x14ac:dyDescent="0.25" r="5" customHeight="1" ht="18.75" customFormat="1" s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x14ac:dyDescent="0.25" r="6" customHeight="1" ht="18.75" customFormat="1" s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x14ac:dyDescent="0.25" r="7" customHeight="1" ht="18.75" customFormat="1" s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61"/>
  <sheetViews>
    <sheetView workbookViewId="0"/>
  </sheetViews>
  <sheetFormatPr defaultRowHeight="15" x14ac:dyDescent="0.25"/>
  <cols>
    <col min="1" max="1" style="5" width="18.005" customWidth="1" bestFit="1"/>
    <col min="2" max="2" style="5" width="22.005" customWidth="1" bestFit="1"/>
    <col min="3" max="3" style="5" width="20.005" customWidth="1" bestFit="1"/>
    <col min="4" max="4" style="5" width="18.005" customWidth="1" bestFit="1"/>
    <col min="5" max="5" style="5" width="26.005" customWidth="1" bestFit="1"/>
    <col min="6" max="6" style="5" width="14.005" customWidth="1" bestFit="1"/>
    <col min="7" max="7" style="5" width="18.005" customWidth="1" bestFit="1"/>
    <col min="8" max="8" style="5" width="18.005" customWidth="1" bestFit="1"/>
    <col min="9" max="9" style="5" width="14.005" customWidth="1" bestFit="1"/>
    <col min="10" max="10" style="5" width="24.005" customWidth="1" bestFit="1"/>
    <col min="11" max="11" style="5" width="18.005" customWidth="1" bestFit="1"/>
    <col min="12" max="12" style="5" width="20.005" customWidth="1" bestFit="1"/>
    <col min="13" max="13" style="5" width="34.005" customWidth="1" bestFit="1"/>
    <col min="14" max="14" style="5" width="36.005" customWidth="1" bestFit="1"/>
  </cols>
  <sheetData>
    <row x14ac:dyDescent="0.25" r="1" customHeight="1" ht="18.75" customFormat="1" s="1">
      <c r="A1" s="42" t="s">
        <v>939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x14ac:dyDescent="0.25" r="2" customHeight="1" ht="18.75" customFormat="1" s="1">
      <c r="A2" s="2" t="s">
        <v>940</v>
      </c>
      <c r="B2" s="2" t="s">
        <v>941</v>
      </c>
      <c r="C2" s="2" t="s">
        <v>942</v>
      </c>
      <c r="D2" s="2" t="s">
        <v>943</v>
      </c>
      <c r="E2" s="2" t="s">
        <v>944</v>
      </c>
      <c r="F2" s="2" t="s">
        <v>945</v>
      </c>
      <c r="G2" s="2" t="s">
        <v>946</v>
      </c>
      <c r="H2" s="2" t="s">
        <v>947</v>
      </c>
      <c r="I2" s="2" t="s">
        <v>948</v>
      </c>
      <c r="J2" s="2" t="s">
        <v>949</v>
      </c>
      <c r="K2" s="2" t="s">
        <v>950</v>
      </c>
      <c r="L2" s="2" t="s">
        <v>951</v>
      </c>
      <c r="M2" s="2" t="s">
        <v>952</v>
      </c>
      <c r="N2" s="2" t="s">
        <v>953</v>
      </c>
    </row>
    <row x14ac:dyDescent="0.25" r="3" customHeight="1" ht="18.75" customFormat="1" s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x14ac:dyDescent="0.25" r="4" customHeight="1" ht="18.75" customFormat="1" s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x14ac:dyDescent="0.25" r="5" customHeight="1" ht="18.75" customFormat="1" s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x14ac:dyDescent="0.25" r="6" customHeight="1" ht="18.75" customFormat="1" s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x14ac:dyDescent="0.25" r="7" customHeight="1" ht="18.75" customFormat="1" s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x14ac:dyDescent="0.25" r="42" customHeight="1" ht="18.75" customFormat="1" s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x14ac:dyDescent="0.25" r="43" customHeight="1" ht="18.75" customFormat="1" s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x14ac:dyDescent="0.25" r="44" customHeight="1" ht="18.75" customFormat="1" s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x14ac:dyDescent="0.25" r="45" customHeight="1" ht="18.75" customFormat="1" s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x14ac:dyDescent="0.25" r="46" customHeight="1" ht="18.75" customFormat="1" s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x14ac:dyDescent="0.25" r="47" customHeight="1" ht="18.75" customFormat="1" s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x14ac:dyDescent="0.25" r="48" customHeight="1" ht="18.75" customFormat="1" s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x14ac:dyDescent="0.25" r="49" customHeight="1" ht="18.75" customFormat="1" s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x14ac:dyDescent="0.25" r="50" customHeight="1" ht="18.75" customFormat="1" s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x14ac:dyDescent="0.25" r="51" customHeight="1" ht="18.75" customFormat="1" s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x14ac:dyDescent="0.25" r="52" customHeight="1" ht="18.75" customFormat="1" s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x14ac:dyDescent="0.25" r="53" customHeight="1" ht="18.75" customFormat="1" s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x14ac:dyDescent="0.25" r="54" customHeight="1" ht="18.75" customFormat="1" s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x14ac:dyDescent="0.25" r="55" customHeight="1" ht="18.75" customFormat="1" s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x14ac:dyDescent="0.25" r="56" customHeight="1" ht="18.75" customFormat="1" s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x14ac:dyDescent="0.25" r="57" customHeight="1" ht="18.75" customFormat="1" s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x14ac:dyDescent="0.25" r="58" customHeight="1" ht="18.75" customFormat="1" s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x14ac:dyDescent="0.25" r="59" customHeight="1" ht="18.75" customFormat="1" s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x14ac:dyDescent="0.25" r="60" customHeight="1" ht="18.75" customFormat="1" s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x14ac:dyDescent="0.25" r="61" customHeight="1" ht="18.75" customFormat="1" s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</sheetData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1"/>
  <sheetViews>
    <sheetView workbookViewId="0"/>
  </sheetViews>
  <sheetFormatPr defaultRowHeight="15" x14ac:dyDescent="0.25"/>
  <cols>
    <col min="1" max="1" style="5" width="8.005" customWidth="1" bestFit="1"/>
    <col min="2" max="2" style="5" width="28.005" customWidth="1" bestFit="1"/>
    <col min="3" max="3" style="5" width="28.005" customWidth="1" bestFit="1"/>
    <col min="4" max="4" style="5" width="18.005" customWidth="1" bestFit="1"/>
    <col min="5" max="5" style="5" width="18.005" customWidth="1" bestFit="1"/>
    <col min="6" max="6" style="5" width="18.005" customWidth="1" bestFit="1"/>
    <col min="7" max="7" style="5" width="18.005" customWidth="1" bestFit="1"/>
    <col min="8" max="8" style="5" width="18.005" customWidth="1" bestFit="1"/>
    <col min="9" max="9" style="5" width="18.005" customWidth="1" bestFit="1"/>
    <col min="10" max="10" style="5" width="18.005" customWidth="1" bestFit="1"/>
    <col min="11" max="11" style="5" width="28.005" customWidth="1" bestFit="1"/>
    <col min="12" max="12" style="5" width="28.005" customWidth="1" bestFit="1"/>
    <col min="13" max="13" style="5" width="18.005" customWidth="1" bestFit="1"/>
    <col min="14" max="14" style="5" width="18.005" customWidth="1" bestFit="1"/>
    <col min="15" max="15" style="5" width="18.005" customWidth="1" bestFit="1"/>
    <col min="16" max="16" style="5" width="18.005" customWidth="1" bestFit="1"/>
    <col min="17" max="17" style="5" width="18.005" customWidth="1" bestFit="1"/>
    <col min="18" max="18" style="5" width="30.005" customWidth="1" bestFit="1"/>
  </cols>
  <sheetData>
    <row x14ac:dyDescent="0.25" r="1" customHeight="1" ht="34.1796875" customFormat="1" s="1">
      <c r="A1" s="2" t="s">
        <v>660</v>
      </c>
      <c r="B1" s="2" t="s">
        <v>838</v>
      </c>
      <c r="C1" s="2" t="s">
        <v>839</v>
      </c>
      <c r="D1" s="2" t="s">
        <v>182</v>
      </c>
      <c r="E1" s="2" t="s">
        <v>183</v>
      </c>
      <c r="F1" s="2" t="s">
        <v>840</v>
      </c>
      <c r="G1" s="2" t="s">
        <v>184</v>
      </c>
      <c r="H1" s="2" t="s">
        <v>185</v>
      </c>
      <c r="I1" s="2" t="s">
        <v>196</v>
      </c>
      <c r="J1" s="2" t="s">
        <v>841</v>
      </c>
      <c r="K1" s="2" t="s">
        <v>842</v>
      </c>
      <c r="L1" s="2" t="s">
        <v>843</v>
      </c>
      <c r="M1" s="2" t="s">
        <v>186</v>
      </c>
      <c r="N1" s="2" t="s">
        <v>844</v>
      </c>
      <c r="O1" s="2" t="s">
        <v>845</v>
      </c>
      <c r="P1" s="2" t="s">
        <v>846</v>
      </c>
      <c r="Q1" s="2" t="s">
        <v>55</v>
      </c>
      <c r="R1" s="2" t="s">
        <v>7</v>
      </c>
    </row>
    <row x14ac:dyDescent="0.25" r="2" customHeight="1" ht="68.359375" customFormat="1" s="1">
      <c r="A2" s="3" t="s">
        <v>847</v>
      </c>
      <c r="B2" s="3" t="s">
        <v>848</v>
      </c>
      <c r="C2" s="3" t="s">
        <v>849</v>
      </c>
      <c r="D2" s="3" t="s">
        <v>227</v>
      </c>
      <c r="E2" s="3" t="s">
        <v>228</v>
      </c>
      <c r="F2" s="3" t="s">
        <v>850</v>
      </c>
      <c r="G2" s="3" t="s">
        <v>229</v>
      </c>
      <c r="H2" s="3" t="s">
        <v>230</v>
      </c>
      <c r="I2" s="3" t="s">
        <v>239</v>
      </c>
      <c r="J2" s="3" t="s">
        <v>239</v>
      </c>
      <c r="K2" s="3" t="s">
        <v>851</v>
      </c>
      <c r="L2" s="3" t="s">
        <v>852</v>
      </c>
      <c r="M2" s="3" t="s">
        <v>231</v>
      </c>
      <c r="N2" s="3" t="s">
        <v>853</v>
      </c>
      <c r="O2" s="3" t="s">
        <v>278</v>
      </c>
      <c r="P2" s="3" t="s">
        <v>235</v>
      </c>
      <c r="Q2" s="3" t="s">
        <v>235</v>
      </c>
      <c r="R2" s="3"/>
    </row>
    <row x14ac:dyDescent="0.25" r="3" customHeight="1" ht="51.26953125" customFormat="1" s="1">
      <c r="A3" s="4" t="s">
        <v>854</v>
      </c>
      <c r="B3" s="4" t="s">
        <v>855</v>
      </c>
      <c r="C3" s="4" t="s">
        <v>856</v>
      </c>
      <c r="D3" s="4" t="s">
        <v>265</v>
      </c>
      <c r="E3" s="4" t="s">
        <v>348</v>
      </c>
      <c r="F3" s="4" t="s">
        <v>850</v>
      </c>
      <c r="G3" s="4" t="s">
        <v>229</v>
      </c>
      <c r="H3" s="4" t="s">
        <v>230</v>
      </c>
      <c r="I3" s="4" t="s">
        <v>239</v>
      </c>
      <c r="J3" s="4" t="s">
        <v>239</v>
      </c>
      <c r="K3" s="4" t="s">
        <v>857</v>
      </c>
      <c r="L3" s="4" t="s">
        <v>858</v>
      </c>
      <c r="M3" s="4" t="s">
        <v>313</v>
      </c>
      <c r="N3" s="4" t="s">
        <v>859</v>
      </c>
      <c r="O3" s="4" t="s">
        <v>238</v>
      </c>
      <c r="P3" s="4" t="s">
        <v>274</v>
      </c>
      <c r="Q3" s="4" t="s">
        <v>273</v>
      </c>
      <c r="R3" s="4" t="s">
        <v>860</v>
      </c>
    </row>
    <row x14ac:dyDescent="0.25" r="4" customHeight="1" ht="68.359375" customFormat="1" s="1">
      <c r="A4" s="3" t="s">
        <v>861</v>
      </c>
      <c r="B4" s="3" t="s">
        <v>862</v>
      </c>
      <c r="C4" s="3" t="s">
        <v>863</v>
      </c>
      <c r="D4" s="3" t="s">
        <v>227</v>
      </c>
      <c r="E4" s="3" t="s">
        <v>228</v>
      </c>
      <c r="F4" s="3" t="s">
        <v>850</v>
      </c>
      <c r="G4" s="3" t="s">
        <v>380</v>
      </c>
      <c r="H4" s="3" t="s">
        <v>230</v>
      </c>
      <c r="I4" s="3" t="s">
        <v>239</v>
      </c>
      <c r="J4" s="3" t="s">
        <v>864</v>
      </c>
      <c r="K4" s="3" t="s">
        <v>865</v>
      </c>
      <c r="L4" s="3" t="s">
        <v>866</v>
      </c>
      <c r="M4" s="3" t="s">
        <v>231</v>
      </c>
      <c r="N4" s="3" t="s">
        <v>867</v>
      </c>
      <c r="O4" s="3" t="s">
        <v>278</v>
      </c>
      <c r="P4" s="3" t="s">
        <v>235</v>
      </c>
      <c r="Q4" s="3" t="s">
        <v>235</v>
      </c>
      <c r="R4" s="3"/>
    </row>
    <row x14ac:dyDescent="0.25" r="5" customHeight="1" ht="68.359375" customFormat="1" s="1">
      <c r="A5" s="4" t="s">
        <v>868</v>
      </c>
      <c r="B5" s="4" t="s">
        <v>869</v>
      </c>
      <c r="C5" s="4" t="s">
        <v>870</v>
      </c>
      <c r="D5" s="4" t="s">
        <v>227</v>
      </c>
      <c r="E5" s="4" t="s">
        <v>228</v>
      </c>
      <c r="F5" s="4" t="s">
        <v>850</v>
      </c>
      <c r="G5" s="4" t="s">
        <v>229</v>
      </c>
      <c r="H5" s="4" t="s">
        <v>268</v>
      </c>
      <c r="I5" s="4" t="s">
        <v>239</v>
      </c>
      <c r="J5" s="4" t="s">
        <v>239</v>
      </c>
      <c r="K5" s="4" t="s">
        <v>871</v>
      </c>
      <c r="L5" s="4" t="s">
        <v>872</v>
      </c>
      <c r="M5" s="4" t="s">
        <v>231</v>
      </c>
      <c r="N5" s="4" t="s">
        <v>873</v>
      </c>
      <c r="O5" s="4" t="s">
        <v>278</v>
      </c>
      <c r="P5" s="4" t="s">
        <v>235</v>
      </c>
      <c r="Q5" s="4" t="s">
        <v>235</v>
      </c>
      <c r="R5" s="4" t="s">
        <v>874</v>
      </c>
    </row>
    <row x14ac:dyDescent="0.25" r="6" customHeight="1" ht="51.26953125" customFormat="1" s="1">
      <c r="A6" s="3" t="s">
        <v>875</v>
      </c>
      <c r="B6" s="3" t="s">
        <v>876</v>
      </c>
      <c r="C6" s="3" t="s">
        <v>877</v>
      </c>
      <c r="D6" s="3" t="s">
        <v>265</v>
      </c>
      <c r="E6" s="3" t="s">
        <v>228</v>
      </c>
      <c r="F6" s="3" t="s">
        <v>850</v>
      </c>
      <c r="G6" s="3" t="s">
        <v>380</v>
      </c>
      <c r="H6" s="3" t="s">
        <v>350</v>
      </c>
      <c r="I6" s="3" t="s">
        <v>239</v>
      </c>
      <c r="J6" s="3" t="s">
        <v>239</v>
      </c>
      <c r="K6" s="3" t="s">
        <v>878</v>
      </c>
      <c r="L6" s="3" t="s">
        <v>879</v>
      </c>
      <c r="M6" s="3" t="s">
        <v>351</v>
      </c>
      <c r="N6" s="3" t="s">
        <v>880</v>
      </c>
      <c r="O6" s="3" t="s">
        <v>321</v>
      </c>
      <c r="P6" s="3" t="s">
        <v>396</v>
      </c>
      <c r="Q6" s="3" t="s">
        <v>355</v>
      </c>
      <c r="R6" s="3"/>
    </row>
    <row x14ac:dyDescent="0.25" r="7" customHeight="1" ht="51.26953125" customFormat="1" s="1">
      <c r="A7" s="4" t="s">
        <v>881</v>
      </c>
      <c r="B7" s="4" t="s">
        <v>882</v>
      </c>
      <c r="C7" s="4" t="s">
        <v>883</v>
      </c>
      <c r="D7" s="4" t="s">
        <v>227</v>
      </c>
      <c r="E7" s="4" t="s">
        <v>266</v>
      </c>
      <c r="F7" s="4" t="s">
        <v>884</v>
      </c>
      <c r="G7" s="4" t="s">
        <v>229</v>
      </c>
      <c r="H7" s="4" t="s">
        <v>230</v>
      </c>
      <c r="I7" s="4" t="s">
        <v>239</v>
      </c>
      <c r="J7" s="4" t="s">
        <v>239</v>
      </c>
      <c r="K7" s="4" t="s">
        <v>885</v>
      </c>
      <c r="L7" s="4" t="s">
        <v>886</v>
      </c>
      <c r="M7" s="4" t="s">
        <v>231</v>
      </c>
      <c r="N7" s="4" t="s">
        <v>887</v>
      </c>
      <c r="O7" s="4" t="s">
        <v>278</v>
      </c>
      <c r="P7" s="4" t="s">
        <v>356</v>
      </c>
      <c r="Q7" s="4" t="s">
        <v>316</v>
      </c>
      <c r="R7" s="4"/>
    </row>
    <row x14ac:dyDescent="0.25" r="8" customHeight="1" ht="51.26953125" customFormat="1" s="1">
      <c r="A8" s="3" t="s">
        <v>888</v>
      </c>
      <c r="B8" s="3" t="s">
        <v>889</v>
      </c>
      <c r="C8" s="3" t="s">
        <v>883</v>
      </c>
      <c r="D8" s="3" t="s">
        <v>227</v>
      </c>
      <c r="E8" s="3" t="s">
        <v>310</v>
      </c>
      <c r="F8" s="3" t="s">
        <v>890</v>
      </c>
      <c r="G8" s="3" t="s">
        <v>229</v>
      </c>
      <c r="H8" s="3" t="s">
        <v>230</v>
      </c>
      <c r="I8" s="3" t="s">
        <v>239</v>
      </c>
      <c r="J8" s="3" t="s">
        <v>239</v>
      </c>
      <c r="K8" s="3" t="s">
        <v>891</v>
      </c>
      <c r="L8" s="3" t="s">
        <v>892</v>
      </c>
      <c r="M8" s="3" t="s">
        <v>231</v>
      </c>
      <c r="N8" s="3" t="s">
        <v>887</v>
      </c>
      <c r="O8" s="3" t="s">
        <v>278</v>
      </c>
      <c r="P8" s="3" t="s">
        <v>356</v>
      </c>
      <c r="Q8" s="3" t="s">
        <v>316</v>
      </c>
      <c r="R8" s="3"/>
    </row>
    <row x14ac:dyDescent="0.25" r="9" customHeight="1" ht="51.26953125" customFormat="1" s="1">
      <c r="A9" s="4" t="s">
        <v>893</v>
      </c>
      <c r="B9" s="4" t="s">
        <v>894</v>
      </c>
      <c r="C9" s="4" t="s">
        <v>895</v>
      </c>
      <c r="D9" s="4" t="s">
        <v>227</v>
      </c>
      <c r="E9" s="4" t="s">
        <v>228</v>
      </c>
      <c r="F9" s="4" t="s">
        <v>850</v>
      </c>
      <c r="G9" s="4" t="s">
        <v>229</v>
      </c>
      <c r="H9" s="4" t="s">
        <v>230</v>
      </c>
      <c r="I9" s="4" t="s">
        <v>239</v>
      </c>
      <c r="J9" s="4" t="s">
        <v>239</v>
      </c>
      <c r="K9" s="4" t="s">
        <v>896</v>
      </c>
      <c r="L9" s="4" t="s">
        <v>897</v>
      </c>
      <c r="M9" s="4" t="s">
        <v>269</v>
      </c>
      <c r="N9" s="4" t="s">
        <v>898</v>
      </c>
      <c r="O9" s="4" t="s">
        <v>238</v>
      </c>
      <c r="P9" s="4" t="s">
        <v>356</v>
      </c>
      <c r="Q9" s="4" t="s">
        <v>316</v>
      </c>
      <c r="R9" s="4" t="s">
        <v>899</v>
      </c>
    </row>
    <row x14ac:dyDescent="0.25" r="10" customHeight="1" ht="68.359375" customFormat="1" s="1">
      <c r="A10" s="3" t="s">
        <v>900</v>
      </c>
      <c r="B10" s="3" t="s">
        <v>901</v>
      </c>
      <c r="C10" s="3" t="s">
        <v>902</v>
      </c>
      <c r="D10" s="3" t="s">
        <v>265</v>
      </c>
      <c r="E10" s="3" t="s">
        <v>228</v>
      </c>
      <c r="F10" s="3" t="s">
        <v>903</v>
      </c>
      <c r="G10" s="3" t="s">
        <v>229</v>
      </c>
      <c r="H10" s="3" t="s">
        <v>230</v>
      </c>
      <c r="I10" s="3" t="s">
        <v>239</v>
      </c>
      <c r="J10" s="3" t="s">
        <v>239</v>
      </c>
      <c r="K10" s="3" t="s">
        <v>904</v>
      </c>
      <c r="L10" s="3" t="s">
        <v>905</v>
      </c>
      <c r="M10" s="3" t="s">
        <v>231</v>
      </c>
      <c r="N10" s="3" t="s">
        <v>906</v>
      </c>
      <c r="O10" s="3" t="s">
        <v>278</v>
      </c>
      <c r="P10" s="3" t="s">
        <v>356</v>
      </c>
      <c r="Q10" s="3" t="s">
        <v>316</v>
      </c>
      <c r="R10" s="3" t="s">
        <v>907</v>
      </c>
    </row>
    <row x14ac:dyDescent="0.25" r="11" customHeight="1" ht="51.26953125" customFormat="1" s="1">
      <c r="A11" s="4" t="s">
        <v>908</v>
      </c>
      <c r="B11" s="4" t="s">
        <v>909</v>
      </c>
      <c r="C11" s="4" t="s">
        <v>910</v>
      </c>
      <c r="D11" s="4" t="s">
        <v>265</v>
      </c>
      <c r="E11" s="4" t="s">
        <v>228</v>
      </c>
      <c r="F11" s="4" t="s">
        <v>911</v>
      </c>
      <c r="G11" s="4" t="s">
        <v>229</v>
      </c>
      <c r="H11" s="4" t="s">
        <v>230</v>
      </c>
      <c r="I11" s="4" t="s">
        <v>239</v>
      </c>
      <c r="J11" s="4" t="s">
        <v>239</v>
      </c>
      <c r="K11" s="4" t="s">
        <v>912</v>
      </c>
      <c r="L11" s="4" t="s">
        <v>913</v>
      </c>
      <c r="M11" s="4" t="s">
        <v>231</v>
      </c>
      <c r="N11" s="4" t="s">
        <v>914</v>
      </c>
      <c r="O11" s="4" t="s">
        <v>278</v>
      </c>
      <c r="P11" s="4" t="s">
        <v>356</v>
      </c>
      <c r="Q11" s="4" t="s">
        <v>316</v>
      </c>
      <c r="R11" s="4" t="s">
        <v>915</v>
      </c>
    </row>
    <row x14ac:dyDescent="0.25" r="12" customHeight="1" ht="85.44921875" customFormat="1" s="1">
      <c r="A12" s="3" t="s">
        <v>916</v>
      </c>
      <c r="B12" s="3" t="s">
        <v>917</v>
      </c>
      <c r="C12" s="3" t="s">
        <v>918</v>
      </c>
      <c r="D12" s="3" t="s">
        <v>265</v>
      </c>
      <c r="E12" s="3" t="s">
        <v>228</v>
      </c>
      <c r="F12" s="3" t="s">
        <v>850</v>
      </c>
      <c r="G12" s="3" t="s">
        <v>919</v>
      </c>
      <c r="H12" s="3" t="s">
        <v>230</v>
      </c>
      <c r="I12" s="3" t="s">
        <v>239</v>
      </c>
      <c r="J12" s="3" t="s">
        <v>239</v>
      </c>
      <c r="K12" s="3" t="s">
        <v>920</v>
      </c>
      <c r="L12" s="3" t="s">
        <v>921</v>
      </c>
      <c r="M12" s="3" t="s">
        <v>231</v>
      </c>
      <c r="N12" s="3" t="s">
        <v>922</v>
      </c>
      <c r="O12" s="3" t="s">
        <v>278</v>
      </c>
      <c r="P12" s="3" t="s">
        <v>356</v>
      </c>
      <c r="Q12" s="3" t="s">
        <v>316</v>
      </c>
      <c r="R12" s="3" t="s">
        <v>923</v>
      </c>
    </row>
    <row x14ac:dyDescent="0.25" r="13" customHeight="1" ht="85.44921875" customFormat="1" s="1">
      <c r="A13" s="4" t="s">
        <v>924</v>
      </c>
      <c r="B13" s="4" t="s">
        <v>925</v>
      </c>
      <c r="C13" s="4" t="s">
        <v>926</v>
      </c>
      <c r="D13" s="4" t="s">
        <v>265</v>
      </c>
      <c r="E13" s="4" t="s">
        <v>228</v>
      </c>
      <c r="F13" s="4" t="s">
        <v>850</v>
      </c>
      <c r="G13" s="4" t="s">
        <v>229</v>
      </c>
      <c r="H13" s="4" t="s">
        <v>927</v>
      </c>
      <c r="I13" s="4" t="s">
        <v>239</v>
      </c>
      <c r="J13" s="4" t="s">
        <v>239</v>
      </c>
      <c r="K13" s="4" t="s">
        <v>928</v>
      </c>
      <c r="L13" s="4" t="s">
        <v>929</v>
      </c>
      <c r="M13" s="4" t="s">
        <v>231</v>
      </c>
      <c r="N13" s="4" t="s">
        <v>930</v>
      </c>
      <c r="O13" s="4" t="s">
        <v>278</v>
      </c>
      <c r="P13" s="4" t="s">
        <v>356</v>
      </c>
      <c r="Q13" s="4" t="s">
        <v>316</v>
      </c>
      <c r="R13" s="4" t="s">
        <v>931</v>
      </c>
    </row>
    <row x14ac:dyDescent="0.25" r="14" customHeight="1" ht="68.359375" customFormat="1" s="1">
      <c r="A14" s="3" t="s">
        <v>932</v>
      </c>
      <c r="B14" s="3" t="s">
        <v>933</v>
      </c>
      <c r="C14" s="3" t="s">
        <v>934</v>
      </c>
      <c r="D14" s="3" t="s">
        <v>265</v>
      </c>
      <c r="E14" s="3" t="s">
        <v>228</v>
      </c>
      <c r="F14" s="3" t="s">
        <v>850</v>
      </c>
      <c r="G14" s="3" t="s">
        <v>229</v>
      </c>
      <c r="H14" s="3" t="s">
        <v>230</v>
      </c>
      <c r="I14" s="3" t="s">
        <v>239</v>
      </c>
      <c r="J14" s="3" t="s">
        <v>239</v>
      </c>
      <c r="K14" s="3" t="s">
        <v>935</v>
      </c>
      <c r="L14" s="3" t="s">
        <v>936</v>
      </c>
      <c r="M14" s="3" t="s">
        <v>231</v>
      </c>
      <c r="N14" s="3" t="s">
        <v>937</v>
      </c>
      <c r="O14" s="3" t="s">
        <v>278</v>
      </c>
      <c r="P14" s="3" t="s">
        <v>356</v>
      </c>
      <c r="Q14" s="3" t="s">
        <v>316</v>
      </c>
      <c r="R14" s="3" t="s">
        <v>938</v>
      </c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41"/>
  <sheetViews>
    <sheetView workbookViewId="0"/>
  </sheetViews>
  <sheetFormatPr defaultRowHeight="15" x14ac:dyDescent="0.25"/>
  <cols>
    <col min="1" max="1" style="5" width="8.005" customWidth="1" bestFit="1"/>
    <col min="2" max="2" style="5" width="22.005" customWidth="1" bestFit="1"/>
    <col min="3" max="3" style="5" width="22.005" customWidth="1" bestFit="1"/>
    <col min="4" max="4" style="5" width="16.005" customWidth="1" bestFit="1"/>
    <col min="5" max="5" style="5" width="16.005" customWidth="1" bestFit="1"/>
    <col min="6" max="6" style="5" width="16.005" customWidth="1" bestFit="1"/>
    <col min="7" max="7" style="5" width="30.005" customWidth="1" bestFit="1"/>
    <col min="8" max="8" style="5" width="30.005" customWidth="1" bestFit="1"/>
    <col min="9" max="9" style="5" width="30.005" customWidth="1" bestFit="1"/>
    <col min="10" max="10" style="5" width="22.005" customWidth="1" bestFit="1"/>
    <col min="11" max="11" style="5" width="22.005" customWidth="1" bestFit="1"/>
    <col min="12" max="12" style="5" width="28.005" customWidth="1" bestFit="1"/>
    <col min="13" max="13" style="5" width="20.005" customWidth="1" bestFit="1"/>
    <col min="14" max="14" style="5" width="20.005" customWidth="1" bestFit="1"/>
    <col min="15" max="15" style="5" width="28.005" customWidth="1" bestFit="1"/>
  </cols>
  <sheetData>
    <row x14ac:dyDescent="0.25" r="1" customHeight="1" ht="68.359375" customFormat="1" s="1">
      <c r="A1" s="2" t="s">
        <v>661</v>
      </c>
      <c r="B1" s="2" t="s">
        <v>737</v>
      </c>
      <c r="C1" s="2" t="s">
        <v>187</v>
      </c>
      <c r="D1" s="2" t="s">
        <v>738</v>
      </c>
      <c r="E1" s="2" t="s">
        <v>739</v>
      </c>
      <c r="F1" s="2" t="s">
        <v>193</v>
      </c>
      <c r="G1" s="2" t="s">
        <v>740</v>
      </c>
      <c r="H1" s="2" t="s">
        <v>741</v>
      </c>
      <c r="I1" s="2" t="s">
        <v>742</v>
      </c>
      <c r="J1" s="2" t="s">
        <v>743</v>
      </c>
      <c r="K1" s="2" t="s">
        <v>744</v>
      </c>
      <c r="L1" s="2" t="s">
        <v>745</v>
      </c>
      <c r="M1" s="2" t="s">
        <v>746</v>
      </c>
      <c r="N1" s="2" t="s">
        <v>5</v>
      </c>
      <c r="O1" s="2" t="s">
        <v>7</v>
      </c>
    </row>
    <row x14ac:dyDescent="0.25" r="2" customHeight="1" ht="51.26953125" customFormat="1" s="1">
      <c r="A2" s="3" t="s">
        <v>747</v>
      </c>
      <c r="B2" s="3" t="s">
        <v>748</v>
      </c>
      <c r="C2" s="3" t="s">
        <v>232</v>
      </c>
      <c r="D2" s="3" t="s">
        <v>384</v>
      </c>
      <c r="E2" s="3" t="s">
        <v>275</v>
      </c>
      <c r="F2" s="3" t="s">
        <v>232</v>
      </c>
      <c r="G2" s="3" t="s">
        <v>749</v>
      </c>
      <c r="H2" s="3" t="s">
        <v>750</v>
      </c>
      <c r="I2" s="3" t="s">
        <v>751</v>
      </c>
      <c r="J2" s="3" t="s">
        <v>274</v>
      </c>
      <c r="K2" s="3" t="s">
        <v>317</v>
      </c>
      <c r="L2" s="3" t="s">
        <v>752</v>
      </c>
      <c r="M2" s="3" t="s">
        <v>753</v>
      </c>
      <c r="N2" s="3" t="s">
        <v>260</v>
      </c>
      <c r="O2" s="3"/>
    </row>
    <row x14ac:dyDescent="0.25" r="3" customHeight="1" ht="51.26953125" customFormat="1" s="1">
      <c r="A3" s="4" t="s">
        <v>754</v>
      </c>
      <c r="B3" s="4" t="s">
        <v>755</v>
      </c>
      <c r="C3" s="4" t="s">
        <v>232</v>
      </c>
      <c r="D3" s="4" t="s">
        <v>384</v>
      </c>
      <c r="E3" s="4" t="s">
        <v>275</v>
      </c>
      <c r="F3" s="4" t="s">
        <v>232</v>
      </c>
      <c r="G3" s="4" t="s">
        <v>756</v>
      </c>
      <c r="H3" s="4" t="s">
        <v>757</v>
      </c>
      <c r="I3" s="4" t="s">
        <v>758</v>
      </c>
      <c r="J3" s="4" t="s">
        <v>274</v>
      </c>
      <c r="K3" s="4" t="s">
        <v>317</v>
      </c>
      <c r="L3" s="4" t="s">
        <v>759</v>
      </c>
      <c r="M3" s="4" t="s">
        <v>760</v>
      </c>
      <c r="N3" s="4" t="s">
        <v>224</v>
      </c>
      <c r="O3" s="4"/>
    </row>
    <row x14ac:dyDescent="0.25" r="4" customHeight="1" ht="51.26953125" customFormat="1" s="1">
      <c r="A4" s="3" t="s">
        <v>761</v>
      </c>
      <c r="B4" s="3" t="s">
        <v>762</v>
      </c>
      <c r="C4" s="3" t="s">
        <v>232</v>
      </c>
      <c r="D4" s="3" t="s">
        <v>384</v>
      </c>
      <c r="E4" s="3" t="s">
        <v>275</v>
      </c>
      <c r="F4" s="3" t="s">
        <v>358</v>
      </c>
      <c r="G4" s="3" t="s">
        <v>763</v>
      </c>
      <c r="H4" s="3" t="s">
        <v>764</v>
      </c>
      <c r="I4" s="3" t="s">
        <v>765</v>
      </c>
      <c r="J4" s="3" t="s">
        <v>235</v>
      </c>
      <c r="K4" s="3" t="s">
        <v>317</v>
      </c>
      <c r="L4" s="3" t="s">
        <v>766</v>
      </c>
      <c r="M4" s="3" t="s">
        <v>767</v>
      </c>
      <c r="N4" s="3" t="s">
        <v>224</v>
      </c>
      <c r="O4" s="3"/>
    </row>
    <row x14ac:dyDescent="0.25" r="5" customHeight="1" ht="51.26953125" customFormat="1" s="1">
      <c r="A5" s="4" t="s">
        <v>768</v>
      </c>
      <c r="B5" s="4" t="s">
        <v>769</v>
      </c>
      <c r="C5" s="4" t="s">
        <v>232</v>
      </c>
      <c r="D5" s="4" t="s">
        <v>384</v>
      </c>
      <c r="E5" s="4" t="s">
        <v>275</v>
      </c>
      <c r="F5" s="4" t="s">
        <v>385</v>
      </c>
      <c r="G5" s="4" t="s">
        <v>770</v>
      </c>
      <c r="H5" s="4" t="s">
        <v>771</v>
      </c>
      <c r="I5" s="4" t="s">
        <v>772</v>
      </c>
      <c r="J5" s="4" t="s">
        <v>235</v>
      </c>
      <c r="K5" s="4" t="s">
        <v>317</v>
      </c>
      <c r="L5" s="4" t="s">
        <v>773</v>
      </c>
      <c r="M5" s="4" t="s">
        <v>774</v>
      </c>
      <c r="N5" s="4" t="s">
        <v>224</v>
      </c>
      <c r="O5" s="4"/>
    </row>
    <row x14ac:dyDescent="0.25" r="6" customHeight="1" ht="68.359375" customFormat="1" s="1">
      <c r="A6" s="3" t="s">
        <v>775</v>
      </c>
      <c r="B6" s="3" t="s">
        <v>776</v>
      </c>
      <c r="C6" s="3" t="s">
        <v>314</v>
      </c>
      <c r="D6" s="3" t="s">
        <v>275</v>
      </c>
      <c r="E6" s="3" t="s">
        <v>275</v>
      </c>
      <c r="F6" s="3" t="s">
        <v>319</v>
      </c>
      <c r="G6" s="3" t="s">
        <v>777</v>
      </c>
      <c r="H6" s="3" t="s">
        <v>778</v>
      </c>
      <c r="I6" s="3" t="s">
        <v>779</v>
      </c>
      <c r="J6" s="3" t="s">
        <v>356</v>
      </c>
      <c r="K6" s="3" t="s">
        <v>274</v>
      </c>
      <c r="L6" s="3" t="s">
        <v>780</v>
      </c>
      <c r="M6" s="3" t="s">
        <v>781</v>
      </c>
      <c r="N6" s="3" t="s">
        <v>304</v>
      </c>
      <c r="O6" s="3"/>
    </row>
    <row x14ac:dyDescent="0.25" r="7" customHeight="1" ht="34.1796875" customFormat="1" s="1">
      <c r="A7" s="4" t="s">
        <v>782</v>
      </c>
      <c r="B7" s="4" t="s">
        <v>783</v>
      </c>
      <c r="C7" s="4" t="s">
        <v>270</v>
      </c>
      <c r="D7" s="4" t="s">
        <v>236</v>
      </c>
      <c r="E7" s="4" t="s">
        <v>236</v>
      </c>
      <c r="F7" s="4" t="s">
        <v>276</v>
      </c>
      <c r="G7" s="4" t="s">
        <v>784</v>
      </c>
      <c r="H7" s="4" t="s">
        <v>785</v>
      </c>
      <c r="I7" s="4" t="s">
        <v>786</v>
      </c>
      <c r="J7" s="4" t="s">
        <v>317</v>
      </c>
      <c r="K7" s="4" t="s">
        <v>274</v>
      </c>
      <c r="L7" s="4" t="s">
        <v>787</v>
      </c>
      <c r="M7" s="4" t="s">
        <v>788</v>
      </c>
      <c r="N7" s="4" t="s">
        <v>260</v>
      </c>
      <c r="O7" s="4"/>
    </row>
    <row x14ac:dyDescent="0.25" r="8" customHeight="1" ht="34.1796875" customFormat="1" s="1">
      <c r="A8" s="3" t="s">
        <v>789</v>
      </c>
      <c r="B8" s="3" t="s">
        <v>790</v>
      </c>
      <c r="C8" s="3" t="s">
        <v>270</v>
      </c>
      <c r="D8" s="3" t="s">
        <v>236</v>
      </c>
      <c r="E8" s="3" t="s">
        <v>236</v>
      </c>
      <c r="F8" s="3" t="s">
        <v>276</v>
      </c>
      <c r="G8" s="3" t="s">
        <v>791</v>
      </c>
      <c r="H8" s="3" t="s">
        <v>792</v>
      </c>
      <c r="I8" s="3" t="s">
        <v>786</v>
      </c>
      <c r="J8" s="3" t="s">
        <v>317</v>
      </c>
      <c r="K8" s="3" t="s">
        <v>274</v>
      </c>
      <c r="L8" s="3" t="s">
        <v>787</v>
      </c>
      <c r="M8" s="3" t="s">
        <v>788</v>
      </c>
      <c r="N8" s="3" t="s">
        <v>260</v>
      </c>
      <c r="O8" s="3"/>
    </row>
    <row x14ac:dyDescent="0.25" r="9" customHeight="1" ht="51.26953125" customFormat="1" s="1">
      <c r="A9" s="4" t="s">
        <v>793</v>
      </c>
      <c r="B9" s="4" t="s">
        <v>794</v>
      </c>
      <c r="C9" s="4" t="s">
        <v>352</v>
      </c>
      <c r="D9" s="4" t="s">
        <v>406</v>
      </c>
      <c r="E9" s="4" t="s">
        <v>406</v>
      </c>
      <c r="F9" s="4" t="s">
        <v>407</v>
      </c>
      <c r="G9" s="4" t="s">
        <v>795</v>
      </c>
      <c r="H9" s="4" t="s">
        <v>796</v>
      </c>
      <c r="I9" s="4" t="s">
        <v>797</v>
      </c>
      <c r="J9" s="4" t="s">
        <v>383</v>
      </c>
      <c r="K9" s="4" t="s">
        <v>274</v>
      </c>
      <c r="L9" s="4" t="s">
        <v>798</v>
      </c>
      <c r="M9" s="4" t="s">
        <v>446</v>
      </c>
      <c r="N9" s="4" t="s">
        <v>224</v>
      </c>
      <c r="O9" s="4" t="s">
        <v>799</v>
      </c>
    </row>
    <row x14ac:dyDescent="0.25" r="10" customHeight="1" ht="51.26953125" customFormat="1" s="1">
      <c r="A10" s="3" t="s">
        <v>800</v>
      </c>
      <c r="B10" s="3" t="s">
        <v>801</v>
      </c>
      <c r="C10" s="3" t="s">
        <v>381</v>
      </c>
      <c r="D10" s="3" t="s">
        <v>397</v>
      </c>
      <c r="E10" s="3" t="s">
        <v>397</v>
      </c>
      <c r="F10" s="3" t="s">
        <v>398</v>
      </c>
      <c r="G10" s="3" t="s">
        <v>802</v>
      </c>
      <c r="H10" s="3" t="s">
        <v>803</v>
      </c>
      <c r="I10" s="3" t="s">
        <v>804</v>
      </c>
      <c r="J10" s="3" t="s">
        <v>396</v>
      </c>
      <c r="K10" s="3" t="s">
        <v>274</v>
      </c>
      <c r="L10" s="3" t="s">
        <v>805</v>
      </c>
      <c r="M10" s="3" t="s">
        <v>490</v>
      </c>
      <c r="N10" s="3" t="s">
        <v>344</v>
      </c>
      <c r="O10" s="3"/>
    </row>
    <row x14ac:dyDescent="0.25" r="11" customHeight="1" ht="68.359375" customFormat="1" s="1">
      <c r="A11" s="4" t="s">
        <v>806</v>
      </c>
      <c r="B11" s="4" t="s">
        <v>807</v>
      </c>
      <c r="C11" s="4" t="s">
        <v>381</v>
      </c>
      <c r="D11" s="4" t="s">
        <v>318</v>
      </c>
      <c r="E11" s="4" t="s">
        <v>318</v>
      </c>
      <c r="F11" s="4" t="s">
        <v>232</v>
      </c>
      <c r="G11" s="4" t="s">
        <v>808</v>
      </c>
      <c r="H11" s="4" t="s">
        <v>809</v>
      </c>
      <c r="I11" s="4" t="s">
        <v>810</v>
      </c>
      <c r="J11" s="4" t="s">
        <v>356</v>
      </c>
      <c r="K11" s="4" t="s">
        <v>317</v>
      </c>
      <c r="L11" s="4" t="s">
        <v>811</v>
      </c>
      <c r="M11" s="4" t="s">
        <v>513</v>
      </c>
      <c r="N11" s="4" t="s">
        <v>304</v>
      </c>
      <c r="O11" s="4" t="s">
        <v>812</v>
      </c>
    </row>
    <row x14ac:dyDescent="0.25" r="12" customHeight="1" ht="68.359375" customFormat="1" s="1">
      <c r="A12" s="3" t="s">
        <v>813</v>
      </c>
      <c r="B12" s="3" t="s">
        <v>814</v>
      </c>
      <c r="C12" s="3" t="s">
        <v>381</v>
      </c>
      <c r="D12" s="3" t="s">
        <v>357</v>
      </c>
      <c r="E12" s="3" t="s">
        <v>357</v>
      </c>
      <c r="F12" s="3" t="s">
        <v>232</v>
      </c>
      <c r="G12" s="3" t="s">
        <v>815</v>
      </c>
      <c r="H12" s="3" t="s">
        <v>816</v>
      </c>
      <c r="I12" s="3" t="s">
        <v>817</v>
      </c>
      <c r="J12" s="3" t="s">
        <v>356</v>
      </c>
      <c r="K12" s="3" t="s">
        <v>317</v>
      </c>
      <c r="L12" s="3" t="s">
        <v>818</v>
      </c>
      <c r="M12" s="3" t="s">
        <v>517</v>
      </c>
      <c r="N12" s="3" t="s">
        <v>304</v>
      </c>
      <c r="O12" s="3" t="s">
        <v>819</v>
      </c>
    </row>
    <row x14ac:dyDescent="0.25" r="13" customHeight="1" ht="68.359375" customFormat="1" s="1">
      <c r="A13" s="4" t="s">
        <v>820</v>
      </c>
      <c r="B13" s="4" t="s">
        <v>821</v>
      </c>
      <c r="C13" s="4" t="s">
        <v>381</v>
      </c>
      <c r="D13" s="4" t="s">
        <v>275</v>
      </c>
      <c r="E13" s="4" t="s">
        <v>275</v>
      </c>
      <c r="F13" s="4" t="s">
        <v>232</v>
      </c>
      <c r="G13" s="4" t="s">
        <v>822</v>
      </c>
      <c r="H13" s="4" t="s">
        <v>823</v>
      </c>
      <c r="I13" s="4" t="s">
        <v>824</v>
      </c>
      <c r="J13" s="4" t="s">
        <v>356</v>
      </c>
      <c r="K13" s="4" t="s">
        <v>317</v>
      </c>
      <c r="L13" s="4" t="s">
        <v>825</v>
      </c>
      <c r="M13" s="4" t="s">
        <v>35</v>
      </c>
      <c r="N13" s="4" t="s">
        <v>304</v>
      </c>
      <c r="O13" s="4" t="s">
        <v>826</v>
      </c>
    </row>
    <row x14ac:dyDescent="0.25" r="14" customHeight="1" ht="68.359375" customFormat="1" s="1">
      <c r="A14" s="3" t="s">
        <v>827</v>
      </c>
      <c r="B14" s="3" t="s">
        <v>828</v>
      </c>
      <c r="C14" s="3" t="s">
        <v>829</v>
      </c>
      <c r="D14" s="3" t="s">
        <v>830</v>
      </c>
      <c r="E14" s="3" t="s">
        <v>830</v>
      </c>
      <c r="F14" s="3" t="s">
        <v>831</v>
      </c>
      <c r="G14" s="3" t="s">
        <v>832</v>
      </c>
      <c r="H14" s="3" t="s">
        <v>833</v>
      </c>
      <c r="I14" s="3" t="s">
        <v>834</v>
      </c>
      <c r="J14" s="3" t="s">
        <v>396</v>
      </c>
      <c r="K14" s="3" t="s">
        <v>274</v>
      </c>
      <c r="L14" s="3" t="s">
        <v>835</v>
      </c>
      <c r="M14" s="3" t="s">
        <v>41</v>
      </c>
      <c r="N14" s="3" t="s">
        <v>836</v>
      </c>
      <c r="O14" s="3" t="s">
        <v>837</v>
      </c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80"/>
  <sheetViews>
    <sheetView workbookViewId="0"/>
  </sheetViews>
  <sheetFormatPr defaultRowHeight="15" x14ac:dyDescent="0.25"/>
  <cols>
    <col min="1" max="1" style="21" width="26.005" customWidth="1" bestFit="1"/>
    <col min="2" max="2" style="41" width="14.005" customWidth="1" bestFit="1"/>
    <col min="3" max="3" style="21" width="16.005" customWidth="1" bestFit="1"/>
    <col min="4" max="4" style="21" width="20.005" customWidth="1" bestFit="1"/>
    <col min="5" max="5" style="21" width="38.005" customWidth="1" bestFit="1"/>
    <col min="6" max="6" style="14" width="4.005" customWidth="1" bestFit="1"/>
    <col min="7" max="7" style="14" width="24.005" customWidth="1" bestFit="1"/>
    <col min="8" max="8" style="14" width="14.005" customWidth="1" bestFit="1"/>
    <col min="9" max="9" style="14" width="12.005" customWidth="1" bestFit="1"/>
    <col min="10" max="10" style="14" width="12.005" customWidth="1" bestFit="1"/>
  </cols>
  <sheetData>
    <row x14ac:dyDescent="0.25" r="1" customHeight="1" ht="18.75">
      <c r="A1" s="22" t="s">
        <v>683</v>
      </c>
      <c r="B1" s="23"/>
      <c r="C1" s="17"/>
      <c r="D1" s="17"/>
      <c r="E1" s="17"/>
      <c r="F1" s="16"/>
      <c r="G1" s="16"/>
      <c r="H1" s="16"/>
      <c r="I1" s="16"/>
      <c r="J1" s="16"/>
    </row>
    <row x14ac:dyDescent="0.25" r="2" customHeight="1" ht="18.75">
      <c r="A2" s="17"/>
      <c r="B2" s="23"/>
      <c r="C2" s="17"/>
      <c r="D2" s="17"/>
      <c r="E2" s="17"/>
      <c r="F2" s="16"/>
      <c r="G2" s="16"/>
      <c r="H2" s="16"/>
      <c r="I2" s="16"/>
      <c r="J2" s="16"/>
    </row>
    <row x14ac:dyDescent="0.25" r="3" customHeight="1" ht="18.75">
      <c r="A3" s="24" t="s">
        <v>684</v>
      </c>
      <c r="B3" s="25" t="s">
        <v>685</v>
      </c>
      <c r="C3" s="26"/>
      <c r="D3" s="26"/>
      <c r="E3" s="26"/>
      <c r="F3" s="26"/>
      <c r="G3" s="26"/>
      <c r="H3" s="26"/>
      <c r="I3" s="26"/>
      <c r="J3" s="27"/>
    </row>
    <row x14ac:dyDescent="0.25" r="4" customHeight="1" ht="18.75">
      <c r="A4" s="19"/>
      <c r="B4" s="28"/>
      <c r="C4" s="29"/>
      <c r="D4" s="29"/>
      <c r="E4" s="29"/>
      <c r="F4" s="29"/>
      <c r="G4" s="29"/>
      <c r="H4" s="29"/>
      <c r="I4" s="29"/>
      <c r="J4" s="30"/>
    </row>
    <row x14ac:dyDescent="0.25" r="5" customHeight="1" ht="18.75">
      <c r="A5" s="17"/>
      <c r="B5" s="23"/>
      <c r="C5" s="17"/>
      <c r="D5" s="17"/>
      <c r="E5" s="17"/>
      <c r="F5" s="16"/>
      <c r="G5" s="16"/>
      <c r="H5" s="16"/>
      <c r="I5" s="16"/>
      <c r="J5" s="16"/>
    </row>
    <row x14ac:dyDescent="0.25" r="6" customHeight="1" ht="18.75">
      <c r="A6" s="31" t="s">
        <v>686</v>
      </c>
      <c r="B6" s="23"/>
      <c r="C6" s="17"/>
      <c r="D6" s="31" t="s">
        <v>687</v>
      </c>
      <c r="E6" s="17"/>
      <c r="F6" s="16"/>
      <c r="G6" s="16"/>
      <c r="H6" s="16"/>
      <c r="I6" s="16"/>
      <c r="J6" s="16"/>
    </row>
    <row x14ac:dyDescent="0.25" r="7" customHeight="1" ht="18.75">
      <c r="A7" s="19" t="s">
        <v>688</v>
      </c>
      <c r="B7" s="32">
        <v>20</v>
      </c>
      <c r="C7" s="17"/>
      <c r="D7" s="19" t="s">
        <v>689</v>
      </c>
      <c r="E7" s="17"/>
      <c r="F7" s="16"/>
      <c r="G7" s="12">
        <f>SUM(B13:B20)</f>
      </c>
      <c r="H7" s="16"/>
      <c r="I7" s="16"/>
      <c r="J7" s="16"/>
    </row>
    <row x14ac:dyDescent="0.25" r="8" customHeight="1" ht="18.75">
      <c r="A8" s="20" t="s">
        <v>690</v>
      </c>
      <c r="B8" s="33">
        <v>2</v>
      </c>
      <c r="C8" s="17"/>
      <c r="D8" s="20" t="s">
        <v>691</v>
      </c>
      <c r="E8" s="17"/>
      <c r="F8" s="16"/>
      <c r="G8" s="34">
        <f>SUM(B25:B34)</f>
      </c>
      <c r="H8" s="16"/>
      <c r="I8" s="16"/>
      <c r="J8" s="16"/>
    </row>
    <row x14ac:dyDescent="0.25" r="9" customHeight="1" ht="18.75">
      <c r="A9" s="19" t="s">
        <v>692</v>
      </c>
      <c r="B9" s="32">
        <v>3</v>
      </c>
      <c r="C9" s="17"/>
      <c r="D9" s="19" t="s">
        <v>693</v>
      </c>
      <c r="E9" s="17"/>
      <c r="F9" s="16"/>
      <c r="G9" s="12">
        <f>SUM(B39:B45)</f>
      </c>
      <c r="H9" s="16"/>
      <c r="I9" s="16"/>
      <c r="J9" s="16"/>
    </row>
    <row x14ac:dyDescent="0.25" r="10" customHeight="1" ht="18.75">
      <c r="A10" s="17"/>
      <c r="B10" s="23"/>
      <c r="C10" s="17"/>
      <c r="D10" s="20" t="s">
        <v>694</v>
      </c>
      <c r="E10" s="17"/>
      <c r="F10" s="16"/>
      <c r="G10" s="34">
        <f>SUM(B50:B55)</f>
      </c>
      <c r="H10" s="16"/>
      <c r="I10" s="16"/>
      <c r="J10" s="16"/>
    </row>
    <row x14ac:dyDescent="0.25" r="11" customHeight="1" ht="18.75">
      <c r="A11" s="24" t="s">
        <v>695</v>
      </c>
      <c r="B11" s="35"/>
      <c r="C11" s="36"/>
      <c r="D11" s="36"/>
      <c r="E11" s="37"/>
      <c r="F11" s="16"/>
      <c r="G11" s="12">
        <f>SUM(B60:B65)</f>
      </c>
      <c r="H11" s="16"/>
      <c r="I11" s="16"/>
      <c r="J11" s="16"/>
    </row>
    <row x14ac:dyDescent="0.25" r="12" customHeight="1" ht="18.75">
      <c r="A12" s="2" t="s">
        <v>696</v>
      </c>
      <c r="B12" s="38" t="s">
        <v>697</v>
      </c>
      <c r="C12" s="2" t="s">
        <v>698</v>
      </c>
      <c r="D12" s="2" t="s">
        <v>699</v>
      </c>
      <c r="E12" s="2" t="s">
        <v>7</v>
      </c>
      <c r="F12" s="16"/>
      <c r="G12" s="34">
        <f>IFERROR(MAX(B60:B65)/MIN(B60:B65),"")</f>
      </c>
      <c r="H12" s="16"/>
      <c r="I12" s="16"/>
      <c r="J12" s="16"/>
    </row>
    <row x14ac:dyDescent="0.25" r="13" customHeight="1" ht="18.75">
      <c r="A13" s="4" t="s">
        <v>700</v>
      </c>
      <c r="B13" s="39"/>
      <c r="C13" s="11">
        <f>IFERROR(B13/SUM($B$13:$B$20),0)</f>
      </c>
      <c r="D13" s="11">
        <f>IF(B13="","",IF(B13&lt;$B$7,"SPARSE","OK"))</f>
      </c>
      <c r="E13" s="4"/>
      <c r="F13" s="16"/>
      <c r="G13" s="12">
        <f>IF(B60="","",IF(OR(MIN(B60:B65)=0,G12&gt;$B$9),"SEVERE_IMBALANCE",IF(G12&gt;$B$8,"MILD_IMBALANCE","BALANCED")))</f>
      </c>
      <c r="H13" s="16"/>
      <c r="I13" s="16"/>
      <c r="J13" s="16"/>
    </row>
    <row x14ac:dyDescent="0.25" r="14" customHeight="1" ht="18.75" customFormat="1" s="1">
      <c r="A14" s="3" t="s">
        <v>701</v>
      </c>
      <c r="B14" s="40"/>
      <c r="C14" s="10">
        <f>IFERROR(B14/SUM($B$13:$B$20),0)</f>
      </c>
      <c r="D14" s="10">
        <f>IF(B14="","",IF(B14&lt;$B$7,"SPARSE","OK"))</f>
      </c>
      <c r="E14" s="3"/>
      <c r="F14" s="7"/>
      <c r="G14" s="7"/>
      <c r="H14" s="7"/>
      <c r="I14" s="7"/>
      <c r="J14" s="7"/>
    </row>
    <row x14ac:dyDescent="0.25" r="15" customHeight="1" ht="18.75" customFormat="1" s="1">
      <c r="A15" s="4" t="s">
        <v>702</v>
      </c>
      <c r="B15" s="39"/>
      <c r="C15" s="11">
        <f>IFERROR(B15/SUM($B$13:$B$20),0)</f>
      </c>
      <c r="D15" s="11">
        <f>IF(B15="","",IF(B15&lt;$B$7,"SPARSE","OK"))</f>
      </c>
      <c r="E15" s="4"/>
      <c r="F15" s="7"/>
      <c r="G15" s="7"/>
      <c r="H15" s="7"/>
      <c r="I15" s="7"/>
      <c r="J15" s="7"/>
    </row>
    <row x14ac:dyDescent="0.25" r="16" customHeight="1" ht="18.75" customFormat="1" s="1">
      <c r="A16" s="3" t="s">
        <v>703</v>
      </c>
      <c r="B16" s="40"/>
      <c r="C16" s="10">
        <f>IFERROR(B16/SUM($B$13:$B$20),0)</f>
      </c>
      <c r="D16" s="10">
        <f>IF(B16="","",IF(B16&lt;$B$7,"SPARSE","OK"))</f>
      </c>
      <c r="E16" s="3"/>
      <c r="F16" s="7"/>
      <c r="G16" s="7"/>
      <c r="H16" s="7"/>
      <c r="I16" s="7"/>
      <c r="J16" s="7"/>
    </row>
    <row x14ac:dyDescent="0.25" r="17" customHeight="1" ht="18.75" customFormat="1" s="1">
      <c r="A17" s="4" t="s">
        <v>704</v>
      </c>
      <c r="B17" s="39"/>
      <c r="C17" s="11">
        <f>IFERROR(B17/SUM($B$13:$B$20),0)</f>
      </c>
      <c r="D17" s="11">
        <f>IF(B17="","",IF(B17&lt;$B$7,"SPARSE","OK"))</f>
      </c>
      <c r="E17" s="4"/>
      <c r="F17" s="7"/>
      <c r="G17" s="7"/>
      <c r="H17" s="7"/>
      <c r="I17" s="7"/>
      <c r="J17" s="7"/>
    </row>
    <row x14ac:dyDescent="0.25" r="18" customHeight="1" ht="18.75" customFormat="1" s="1">
      <c r="A18" s="3" t="s">
        <v>705</v>
      </c>
      <c r="B18" s="40"/>
      <c r="C18" s="10">
        <f>IFERROR(B18/SUM($B$13:$B$20),0)</f>
      </c>
      <c r="D18" s="10">
        <f>IF(B18="","",IF(B18&lt;$B$7,"SPARSE","OK"))</f>
      </c>
      <c r="E18" s="3"/>
      <c r="F18" s="7"/>
      <c r="G18" s="7"/>
      <c r="H18" s="7"/>
      <c r="I18" s="7"/>
      <c r="J18" s="7"/>
    </row>
    <row x14ac:dyDescent="0.25" r="19" customHeight="1" ht="18.75" customFormat="1" s="1">
      <c r="A19" s="4" t="s">
        <v>706</v>
      </c>
      <c r="B19" s="39"/>
      <c r="C19" s="11">
        <f>IFERROR(B19/SUM($B$13:$B$20),0)</f>
      </c>
      <c r="D19" s="11">
        <f>IF(B19="","",IF(B19&lt;$B$7,"SPARSE","OK"))</f>
      </c>
      <c r="E19" s="4"/>
      <c r="F19" s="7"/>
      <c r="G19" s="7"/>
      <c r="H19" s="7"/>
      <c r="I19" s="7"/>
      <c r="J19" s="7"/>
    </row>
    <row x14ac:dyDescent="0.25" r="20" customHeight="1" ht="18.75" customFormat="1" s="1">
      <c r="A20" s="3" t="s">
        <v>707</v>
      </c>
      <c r="B20" s="40"/>
      <c r="C20" s="10">
        <f>IFERROR(B20/SUM($B$13:$B$20),0)</f>
      </c>
      <c r="D20" s="10">
        <f>IF(B20="","",IF(B20&lt;$B$7,"SPARSE","OK"))</f>
      </c>
      <c r="E20" s="3"/>
      <c r="F20" s="7"/>
      <c r="G20" s="7"/>
      <c r="H20" s="7"/>
      <c r="I20" s="7"/>
      <c r="J20" s="7"/>
    </row>
    <row x14ac:dyDescent="0.25" r="21" customHeight="1" ht="18.75">
      <c r="A21" s="17"/>
      <c r="B21" s="23"/>
      <c r="C21" s="17"/>
      <c r="D21" s="17"/>
      <c r="E21" s="17"/>
      <c r="F21" s="16"/>
      <c r="G21" s="16"/>
      <c r="H21" s="16"/>
      <c r="I21" s="16"/>
      <c r="J21" s="16"/>
    </row>
    <row x14ac:dyDescent="0.25" r="22" customHeight="1" ht="18.75">
      <c r="A22" s="17"/>
      <c r="B22" s="23"/>
      <c r="C22" s="17"/>
      <c r="D22" s="17"/>
      <c r="E22" s="17"/>
      <c r="F22" s="16"/>
      <c r="G22" s="16"/>
      <c r="H22" s="16"/>
      <c r="I22" s="16"/>
      <c r="J22" s="16"/>
    </row>
    <row x14ac:dyDescent="0.25" r="23" customHeight="1" ht="18.75">
      <c r="A23" s="24" t="s">
        <v>708</v>
      </c>
      <c r="B23" s="35"/>
      <c r="C23" s="36"/>
      <c r="D23" s="36"/>
      <c r="E23" s="37"/>
      <c r="F23" s="16"/>
      <c r="G23" s="16"/>
      <c r="H23" s="16"/>
      <c r="I23" s="16"/>
      <c r="J23" s="16"/>
    </row>
    <row x14ac:dyDescent="0.25" r="24" customHeight="1" ht="18.75" customFormat="1" s="1">
      <c r="A24" s="2" t="s">
        <v>709</v>
      </c>
      <c r="B24" s="38" t="s">
        <v>697</v>
      </c>
      <c r="C24" s="2" t="s">
        <v>698</v>
      </c>
      <c r="D24" s="2" t="s">
        <v>699</v>
      </c>
      <c r="E24" s="2" t="s">
        <v>7</v>
      </c>
      <c r="F24" s="7"/>
      <c r="G24" s="7"/>
      <c r="H24" s="7"/>
      <c r="I24" s="7"/>
      <c r="J24" s="7"/>
    </row>
    <row x14ac:dyDescent="0.25" r="25" customHeight="1" ht="18.75" customFormat="1" s="1">
      <c r="A25" s="4" t="s">
        <v>710</v>
      </c>
      <c r="B25" s="39"/>
      <c r="C25" s="11">
        <f>IFERROR(B25/SUM($B$25:$B$34),0)</f>
      </c>
      <c r="D25" s="11">
        <f>IF(B25="","",IF(B25&lt;$B$7,"SPARSE","OK"))</f>
      </c>
      <c r="E25" s="4"/>
      <c r="F25" s="7"/>
      <c r="G25" s="7"/>
      <c r="H25" s="7"/>
      <c r="I25" s="7"/>
      <c r="J25" s="7"/>
    </row>
    <row x14ac:dyDescent="0.25" r="26" customHeight="1" ht="18.75" customFormat="1" s="1">
      <c r="A26" s="3" t="s">
        <v>711</v>
      </c>
      <c r="B26" s="40"/>
      <c r="C26" s="10">
        <f>IFERROR(B26/SUM($B$25:$B$34),0)</f>
      </c>
      <c r="D26" s="10">
        <f>IF(B26="","",IF(B26&lt;$B$7,"SPARSE","OK"))</f>
      </c>
      <c r="E26" s="3"/>
      <c r="F26" s="7"/>
      <c r="G26" s="7"/>
      <c r="H26" s="7"/>
      <c r="I26" s="7"/>
      <c r="J26" s="7"/>
    </row>
    <row x14ac:dyDescent="0.25" r="27" customHeight="1" ht="18.75" customFormat="1" s="1">
      <c r="A27" s="4" t="s">
        <v>712</v>
      </c>
      <c r="B27" s="39"/>
      <c r="C27" s="11">
        <f>IFERROR(B27/SUM($B$25:$B$34),0)</f>
      </c>
      <c r="D27" s="11">
        <f>IF(B27="","",IF(B27&lt;$B$7,"SPARSE","OK"))</f>
      </c>
      <c r="E27" s="4"/>
      <c r="F27" s="7"/>
      <c r="G27" s="7"/>
      <c r="H27" s="7"/>
      <c r="I27" s="7"/>
      <c r="J27" s="7"/>
    </row>
    <row x14ac:dyDescent="0.25" r="28" customHeight="1" ht="18.75" customFormat="1" s="1">
      <c r="A28" s="3" t="s">
        <v>713</v>
      </c>
      <c r="B28" s="40"/>
      <c r="C28" s="10">
        <f>IFERROR(B28/SUM($B$25:$B$34),0)</f>
      </c>
      <c r="D28" s="10">
        <f>IF(B28="","",IF(B28&lt;$B$7,"SPARSE","OK"))</f>
      </c>
      <c r="E28" s="3"/>
      <c r="F28" s="7"/>
      <c r="G28" s="7"/>
      <c r="H28" s="7"/>
      <c r="I28" s="7"/>
      <c r="J28" s="7"/>
    </row>
    <row x14ac:dyDescent="0.25" r="29" customHeight="1" ht="18.75" customFormat="1" s="1">
      <c r="A29" s="4" t="s">
        <v>714</v>
      </c>
      <c r="B29" s="39"/>
      <c r="C29" s="11">
        <f>IFERROR(B29/SUM($B$25:$B$34),0)</f>
      </c>
      <c r="D29" s="11">
        <f>IF(B29="","",IF(B29&lt;$B$7,"SPARSE","OK"))</f>
      </c>
      <c r="E29" s="4"/>
      <c r="F29" s="7"/>
      <c r="G29" s="7"/>
      <c r="H29" s="7"/>
      <c r="I29" s="7"/>
      <c r="J29" s="7"/>
    </row>
    <row x14ac:dyDescent="0.25" r="30" customHeight="1" ht="18.75" customFormat="1" s="1">
      <c r="A30" s="3" t="s">
        <v>715</v>
      </c>
      <c r="B30" s="40"/>
      <c r="C30" s="10">
        <f>IFERROR(B30/SUM($B$25:$B$34),0)</f>
      </c>
      <c r="D30" s="10">
        <f>IF(B30="","",IF(B30&lt;$B$7,"SPARSE","OK"))</f>
      </c>
      <c r="E30" s="3"/>
      <c r="F30" s="7"/>
      <c r="G30" s="7"/>
      <c r="H30" s="7"/>
      <c r="I30" s="7"/>
      <c r="J30" s="7"/>
    </row>
    <row x14ac:dyDescent="0.25" r="31" customHeight="1" ht="18.75" customFormat="1" s="1">
      <c r="A31" s="4" t="s">
        <v>716</v>
      </c>
      <c r="B31" s="39"/>
      <c r="C31" s="11">
        <f>IFERROR(B31/SUM($B$25:$B$34),0)</f>
      </c>
      <c r="D31" s="11">
        <f>IF(B31="","",IF(B31&lt;$B$7,"SPARSE","OK"))</f>
      </c>
      <c r="E31" s="4"/>
      <c r="F31" s="7"/>
      <c r="G31" s="7"/>
      <c r="H31" s="7"/>
      <c r="I31" s="7"/>
      <c r="J31" s="7"/>
    </row>
    <row x14ac:dyDescent="0.25" r="32" customHeight="1" ht="18.75" customFormat="1" s="1">
      <c r="A32" s="3" t="s">
        <v>717</v>
      </c>
      <c r="B32" s="40"/>
      <c r="C32" s="10">
        <f>IFERROR(B32/SUM($B$25:$B$34),0)</f>
      </c>
      <c r="D32" s="10">
        <f>IF(B32="","",IF(B32&lt;$B$7,"SPARSE","OK"))</f>
      </c>
      <c r="E32" s="3"/>
      <c r="F32" s="7"/>
      <c r="G32" s="7"/>
      <c r="H32" s="7"/>
      <c r="I32" s="7"/>
      <c r="J32" s="7"/>
    </row>
    <row x14ac:dyDescent="0.25" r="33" customHeight="1" ht="18.75" customFormat="1" s="1">
      <c r="A33" s="4" t="s">
        <v>718</v>
      </c>
      <c r="B33" s="39"/>
      <c r="C33" s="11">
        <f>IFERROR(B33/SUM($B$25:$B$34),0)</f>
      </c>
      <c r="D33" s="11">
        <f>IF(B33="","",IF(B33&lt;$B$7,"SPARSE","OK"))</f>
      </c>
      <c r="E33" s="4"/>
      <c r="F33" s="7"/>
      <c r="G33" s="7"/>
      <c r="H33" s="7"/>
      <c r="I33" s="7"/>
      <c r="J33" s="7"/>
    </row>
    <row x14ac:dyDescent="0.25" r="34" customHeight="1" ht="18.75" customFormat="1" s="1">
      <c r="A34" s="3" t="s">
        <v>719</v>
      </c>
      <c r="B34" s="40"/>
      <c r="C34" s="10">
        <f>IFERROR(B34/SUM($B$25:$B$34),0)</f>
      </c>
      <c r="D34" s="10">
        <f>IF(B34="","",IF(B34&lt;$B$7,"SPARSE","OK"))</f>
      </c>
      <c r="E34" s="3"/>
      <c r="F34" s="7"/>
      <c r="G34" s="7"/>
      <c r="H34" s="7"/>
      <c r="I34" s="7"/>
      <c r="J34" s="7"/>
    </row>
    <row x14ac:dyDescent="0.25" r="35" customHeight="1" ht="18.75">
      <c r="A35" s="17"/>
      <c r="B35" s="23"/>
      <c r="C35" s="17"/>
      <c r="D35" s="17"/>
      <c r="E35" s="17"/>
      <c r="F35" s="16"/>
      <c r="G35" s="16"/>
      <c r="H35" s="16"/>
      <c r="I35" s="16"/>
      <c r="J35" s="16"/>
    </row>
    <row x14ac:dyDescent="0.25" r="36" customHeight="1" ht="18.75">
      <c r="A36" s="17"/>
      <c r="B36" s="23"/>
      <c r="C36" s="17"/>
      <c r="D36" s="17"/>
      <c r="E36" s="17"/>
      <c r="F36" s="16"/>
      <c r="G36" s="16"/>
      <c r="H36" s="16"/>
      <c r="I36" s="16"/>
      <c r="J36" s="16"/>
    </row>
    <row x14ac:dyDescent="0.25" r="37" customHeight="1" ht="18.75">
      <c r="A37" s="24" t="s">
        <v>720</v>
      </c>
      <c r="B37" s="35"/>
      <c r="C37" s="36"/>
      <c r="D37" s="36"/>
      <c r="E37" s="37"/>
      <c r="F37" s="16"/>
      <c r="G37" s="16"/>
      <c r="H37" s="16"/>
      <c r="I37" s="16"/>
      <c r="J37" s="16"/>
    </row>
    <row x14ac:dyDescent="0.25" r="38" customHeight="1" ht="18.75" customFormat="1" s="1">
      <c r="A38" s="2" t="s">
        <v>721</v>
      </c>
      <c r="B38" s="38" t="s">
        <v>697</v>
      </c>
      <c r="C38" s="2" t="s">
        <v>698</v>
      </c>
      <c r="D38" s="2" t="s">
        <v>699</v>
      </c>
      <c r="E38" s="2" t="s">
        <v>7</v>
      </c>
      <c r="F38" s="7"/>
      <c r="G38" s="7"/>
      <c r="H38" s="7"/>
      <c r="I38" s="7"/>
      <c r="J38" s="7"/>
    </row>
    <row x14ac:dyDescent="0.25" r="39" customHeight="1" ht="18.75" customFormat="1" s="1">
      <c r="A39" s="4" t="s">
        <v>229</v>
      </c>
      <c r="B39" s="39"/>
      <c r="C39" s="11">
        <f>IFERROR(B39/SUM($B$39:$B$45),0)</f>
      </c>
      <c r="D39" s="11">
        <f>IF(B39="","",IF(B39&lt;$B$7,"SPARSE","OK"))</f>
      </c>
      <c r="E39" s="4"/>
      <c r="F39" s="7"/>
      <c r="G39" s="7"/>
      <c r="H39" s="7"/>
      <c r="I39" s="7"/>
      <c r="J39" s="7"/>
    </row>
    <row x14ac:dyDescent="0.25" r="40" customHeight="1" ht="18.75" customFormat="1" s="1">
      <c r="A40" s="3" t="s">
        <v>267</v>
      </c>
      <c r="B40" s="40"/>
      <c r="C40" s="10">
        <f>IFERROR(B40/SUM($B$39:$B$45),0)</f>
      </c>
      <c r="D40" s="10">
        <f>IF(B40="","",IF(B40&lt;$B$7,"SPARSE","OK"))</f>
      </c>
      <c r="E40" s="3"/>
      <c r="F40" s="7"/>
      <c r="G40" s="7"/>
      <c r="H40" s="7"/>
      <c r="I40" s="7"/>
      <c r="J40" s="7"/>
    </row>
    <row x14ac:dyDescent="0.25" r="41" customHeight="1" ht="18.75" customFormat="1" s="1">
      <c r="A41" s="4" t="s">
        <v>311</v>
      </c>
      <c r="B41" s="39"/>
      <c r="C41" s="11">
        <f>IFERROR(B41/SUM($B$39:$B$45),0)</f>
      </c>
      <c r="D41" s="11">
        <f>IF(B41="","",IF(B41&lt;$B$7,"SPARSE","OK"))</f>
      </c>
      <c r="E41" s="4"/>
      <c r="F41" s="7"/>
      <c r="G41" s="7"/>
      <c r="H41" s="7"/>
      <c r="I41" s="7"/>
      <c r="J41" s="7"/>
    </row>
    <row x14ac:dyDescent="0.25" r="42" customHeight="1" ht="18.75" customFormat="1" s="1">
      <c r="A42" s="3" t="s">
        <v>349</v>
      </c>
      <c r="B42" s="40"/>
      <c r="C42" s="10">
        <f>IFERROR(B42/SUM($B$39:$B$45),0)</f>
      </c>
      <c r="D42" s="10">
        <f>IF(B42="","",IF(B42&lt;$B$7,"SPARSE","OK"))</f>
      </c>
      <c r="E42" s="3"/>
      <c r="F42" s="7"/>
      <c r="G42" s="7"/>
      <c r="H42" s="7"/>
      <c r="I42" s="7"/>
      <c r="J42" s="7"/>
    </row>
    <row x14ac:dyDescent="0.25" r="43" customHeight="1" ht="18.75" customFormat="1" s="1">
      <c r="A43" s="4" t="s">
        <v>380</v>
      </c>
      <c r="B43" s="39"/>
      <c r="C43" s="11">
        <f>IFERROR(B43/SUM($B$39:$B$45),0)</f>
      </c>
      <c r="D43" s="11">
        <f>IF(B43="","",IF(B43&lt;$B$7,"SPARSE","OK"))</f>
      </c>
      <c r="E43" s="4"/>
      <c r="F43" s="7"/>
      <c r="G43" s="7"/>
      <c r="H43" s="7"/>
      <c r="I43" s="7"/>
      <c r="J43" s="7"/>
    </row>
    <row x14ac:dyDescent="0.25" r="44" customHeight="1" ht="18.75" customFormat="1" s="1">
      <c r="A44" s="3" t="s">
        <v>722</v>
      </c>
      <c r="B44" s="40"/>
      <c r="C44" s="10">
        <f>IFERROR(B44/SUM($B$39:$B$45),0)</f>
      </c>
      <c r="D44" s="10">
        <f>IF(B44="","",IF(B44&lt;$B$7,"SPARSE","OK"))</f>
      </c>
      <c r="E44" s="3"/>
      <c r="F44" s="7"/>
      <c r="G44" s="7"/>
      <c r="H44" s="7"/>
      <c r="I44" s="7"/>
      <c r="J44" s="7"/>
    </row>
    <row x14ac:dyDescent="0.25" r="45" customHeight="1" ht="18.75" customFormat="1" s="1">
      <c r="A45" s="4" t="s">
        <v>723</v>
      </c>
      <c r="B45" s="39"/>
      <c r="C45" s="11">
        <f>IFERROR(B45/SUM($B$39:$B$45),0)</f>
      </c>
      <c r="D45" s="11">
        <f>IF(B45="","",IF(B45&lt;$B$7,"SPARSE","OK"))</f>
      </c>
      <c r="E45" s="4"/>
      <c r="F45" s="7"/>
      <c r="G45" s="7"/>
      <c r="H45" s="7"/>
      <c r="I45" s="7"/>
      <c r="J45" s="7"/>
    </row>
    <row x14ac:dyDescent="0.25" r="46" customHeight="1" ht="18.75">
      <c r="A46" s="17"/>
      <c r="B46" s="23"/>
      <c r="C46" s="17"/>
      <c r="D46" s="17"/>
      <c r="E46" s="17"/>
      <c r="F46" s="16"/>
      <c r="G46" s="16"/>
      <c r="H46" s="16"/>
      <c r="I46" s="16"/>
      <c r="J46" s="16"/>
    </row>
    <row x14ac:dyDescent="0.25" r="47" customHeight="1" ht="18.75">
      <c r="A47" s="17"/>
      <c r="B47" s="23"/>
      <c r="C47" s="17"/>
      <c r="D47" s="17"/>
      <c r="E47" s="17"/>
      <c r="F47" s="16"/>
      <c r="G47" s="16"/>
      <c r="H47" s="16"/>
      <c r="I47" s="16"/>
      <c r="J47" s="16"/>
    </row>
    <row x14ac:dyDescent="0.25" r="48" customHeight="1" ht="18.75">
      <c r="A48" s="24" t="s">
        <v>724</v>
      </c>
      <c r="B48" s="35"/>
      <c r="C48" s="36"/>
      <c r="D48" s="36"/>
      <c r="E48" s="37"/>
      <c r="F48" s="16"/>
      <c r="G48" s="16"/>
      <c r="H48" s="16"/>
      <c r="I48" s="16"/>
      <c r="J48" s="16"/>
    </row>
    <row x14ac:dyDescent="0.25" r="49" customHeight="1" ht="18.75" customFormat="1" s="1">
      <c r="A49" s="2" t="s">
        <v>725</v>
      </c>
      <c r="B49" s="38" t="s">
        <v>697</v>
      </c>
      <c r="C49" s="2" t="s">
        <v>698</v>
      </c>
      <c r="D49" s="2" t="s">
        <v>699</v>
      </c>
      <c r="E49" s="2" t="s">
        <v>7</v>
      </c>
      <c r="F49" s="7"/>
      <c r="G49" s="7"/>
      <c r="H49" s="7"/>
      <c r="I49" s="7"/>
      <c r="J49" s="7"/>
    </row>
    <row x14ac:dyDescent="0.25" r="50" customHeight="1" ht="18.75" customFormat="1" s="1">
      <c r="A50" s="3" t="s">
        <v>230</v>
      </c>
      <c r="B50" s="40"/>
      <c r="C50" s="10">
        <f>IFERROR(B50/SUM($B$50:$B$55),0)</f>
      </c>
      <c r="D50" s="10">
        <f>IF(B50="","",IF(B50&lt;$B$7,"SPARSE","OK"))</f>
      </c>
      <c r="E50" s="3"/>
      <c r="F50" s="7"/>
      <c r="G50" s="7"/>
      <c r="H50" s="7"/>
      <c r="I50" s="7"/>
      <c r="J50" s="7"/>
    </row>
    <row x14ac:dyDescent="0.25" r="51" customHeight="1" ht="18.75" customFormat="1" s="1">
      <c r="A51" s="4" t="s">
        <v>268</v>
      </c>
      <c r="B51" s="39"/>
      <c r="C51" s="11">
        <f>IFERROR(B51/SUM($B$50:$B$55),0)</f>
      </c>
      <c r="D51" s="11">
        <f>IF(B51="","",IF(B51&lt;$B$7,"SPARSE","OK"))</f>
      </c>
      <c r="E51" s="4"/>
      <c r="F51" s="7"/>
      <c r="G51" s="7"/>
      <c r="H51" s="7"/>
      <c r="I51" s="7"/>
      <c r="J51" s="7"/>
    </row>
    <row x14ac:dyDescent="0.25" r="52" customHeight="1" ht="18.75" customFormat="1" s="1">
      <c r="A52" s="3" t="s">
        <v>312</v>
      </c>
      <c r="B52" s="40"/>
      <c r="C52" s="10">
        <f>IFERROR(B52/SUM($B$50:$B$55),0)</f>
      </c>
      <c r="D52" s="10">
        <f>IF(B52="","",IF(B52&lt;$B$7,"SPARSE","OK"))</f>
      </c>
      <c r="E52" s="3"/>
      <c r="F52" s="7"/>
      <c r="G52" s="7"/>
      <c r="H52" s="7"/>
      <c r="I52" s="7"/>
      <c r="J52" s="7"/>
    </row>
    <row x14ac:dyDescent="0.25" r="53" customHeight="1" ht="18.75" customFormat="1" s="1">
      <c r="A53" s="4" t="s">
        <v>350</v>
      </c>
      <c r="B53" s="39"/>
      <c r="C53" s="11">
        <f>IFERROR(B53/SUM($B$50:$B$55),0)</f>
      </c>
      <c r="D53" s="11">
        <f>IF(B53="","",IF(B53&lt;$B$7,"SPARSE","OK"))</f>
      </c>
      <c r="E53" s="4"/>
      <c r="F53" s="7"/>
      <c r="G53" s="7"/>
      <c r="H53" s="7"/>
      <c r="I53" s="7"/>
      <c r="J53" s="7"/>
    </row>
    <row x14ac:dyDescent="0.25" r="54" customHeight="1" ht="18.75" customFormat="1" s="1">
      <c r="A54" s="3" t="s">
        <v>726</v>
      </c>
      <c r="B54" s="40"/>
      <c r="C54" s="10">
        <f>IFERROR(B54/SUM($B$50:$B$55),0)</f>
      </c>
      <c r="D54" s="10">
        <f>IF(B54="","",IF(B54&lt;$B$7,"SPARSE","OK"))</f>
      </c>
      <c r="E54" s="3"/>
      <c r="F54" s="7"/>
      <c r="G54" s="7"/>
      <c r="H54" s="7"/>
      <c r="I54" s="7"/>
      <c r="J54" s="7"/>
    </row>
    <row x14ac:dyDescent="0.25" r="55" customHeight="1" ht="18.75" customFormat="1" s="1">
      <c r="A55" s="4" t="s">
        <v>727</v>
      </c>
      <c r="B55" s="39"/>
      <c r="C55" s="11">
        <f>IFERROR(B55/SUM($B$50:$B$55),0)</f>
      </c>
      <c r="D55" s="11">
        <f>IF(B55="","",IF(B55&lt;$B$7,"SPARSE","OK"))</f>
      </c>
      <c r="E55" s="4"/>
      <c r="F55" s="7"/>
      <c r="G55" s="7"/>
      <c r="H55" s="7"/>
      <c r="I55" s="7"/>
      <c r="J55" s="7"/>
    </row>
    <row x14ac:dyDescent="0.25" r="56" customHeight="1" ht="18.75">
      <c r="A56" s="17"/>
      <c r="B56" s="23"/>
      <c r="C56" s="17"/>
      <c r="D56" s="17"/>
      <c r="E56" s="17"/>
      <c r="F56" s="16"/>
      <c r="G56" s="16"/>
      <c r="H56" s="16"/>
      <c r="I56" s="16"/>
      <c r="J56" s="16"/>
    </row>
    <row x14ac:dyDescent="0.25" r="57" customHeight="1" ht="18.75">
      <c r="A57" s="17"/>
      <c r="B57" s="23"/>
      <c r="C57" s="17"/>
      <c r="D57" s="17"/>
      <c r="E57" s="17"/>
      <c r="F57" s="16"/>
      <c r="G57" s="16"/>
      <c r="H57" s="16"/>
      <c r="I57" s="16"/>
      <c r="J57" s="16"/>
    </row>
    <row x14ac:dyDescent="0.25" r="58" customHeight="1" ht="18.75">
      <c r="A58" s="24" t="s">
        <v>728</v>
      </c>
      <c r="B58" s="35"/>
      <c r="C58" s="36"/>
      <c r="D58" s="36"/>
      <c r="E58" s="37"/>
      <c r="F58" s="16"/>
      <c r="G58" s="16"/>
      <c r="H58" s="16"/>
      <c r="I58" s="16"/>
      <c r="J58" s="16"/>
    </row>
    <row x14ac:dyDescent="0.25" r="59" customHeight="1" ht="18.75" customFormat="1" s="1">
      <c r="A59" s="2" t="s">
        <v>729</v>
      </c>
      <c r="B59" s="38" t="s">
        <v>697</v>
      </c>
      <c r="C59" s="2" t="s">
        <v>698</v>
      </c>
      <c r="D59" s="2" t="s">
        <v>699</v>
      </c>
      <c r="E59" s="2" t="s">
        <v>7</v>
      </c>
      <c r="F59" s="7"/>
      <c r="G59" s="7"/>
      <c r="H59" s="7"/>
      <c r="I59" s="7"/>
      <c r="J59" s="7"/>
    </row>
    <row x14ac:dyDescent="0.25" r="60" customHeight="1" ht="18.75" customFormat="1" s="1">
      <c r="A60" s="3" t="s">
        <v>730</v>
      </c>
      <c r="B60" s="40"/>
      <c r="C60" s="10">
        <f>IFERROR(B60/SUM($B$60:$B$65),0)</f>
      </c>
      <c r="D60" s="10">
        <f>IF(B60="","",IF(OR(MIN($B$60:$B$65)=0,MAX($B$60:$B$65)/MIN($B$60:$B$65)&gt;$B$9),"SEVERE_IMBALANCE",IF(MAX($B$60:$B$65)/MIN($B$60:$B$65)&gt;$B$8,"MILD_IMBALANCE","BALANCED")))</f>
      </c>
      <c r="E60" s="3"/>
      <c r="F60" s="7"/>
      <c r="G60" s="7"/>
      <c r="H60" s="7"/>
      <c r="I60" s="7"/>
      <c r="J60" s="7"/>
    </row>
    <row x14ac:dyDescent="0.25" r="61" customHeight="1" ht="18.75" customFormat="1" s="1">
      <c r="A61" s="4" t="s">
        <v>731</v>
      </c>
      <c r="B61" s="39"/>
      <c r="C61" s="11">
        <f>IFERROR(B61/SUM($B$60:$B$65),0)</f>
      </c>
      <c r="D61" s="11">
        <f>IF(B61="","",IF(OR(MIN($B$60:$B$65)=0,MAX($B$60:$B$65)/MIN($B$60:$B$65)&gt;$B$9),"SEVERE_IMBALANCE",IF(MAX($B$60:$B$65)/MIN($B$60:$B$65)&gt;$B$8,"MILD_IMBALANCE","BALANCED")))</f>
      </c>
      <c r="E61" s="4"/>
      <c r="F61" s="7"/>
      <c r="G61" s="7"/>
      <c r="H61" s="7"/>
      <c r="I61" s="7"/>
      <c r="J61" s="7"/>
    </row>
    <row x14ac:dyDescent="0.25" r="62" customHeight="1" ht="18.75" customFormat="1" s="1">
      <c r="A62" s="3" t="s">
        <v>732</v>
      </c>
      <c r="B62" s="40"/>
      <c r="C62" s="10">
        <f>IFERROR(B62/SUM($B$60:$B$65),0)</f>
      </c>
      <c r="D62" s="10">
        <f>IF(B62="","",IF(OR(MIN($B$60:$B$65)=0,MAX($B$60:$B$65)/MIN($B$60:$B$65)&gt;$B$9),"SEVERE_IMBALANCE",IF(MAX($B$60:$B$65)/MIN($B$60:$B$65)&gt;$B$8,"MILD_IMBALANCE","BALANCED")))</f>
      </c>
      <c r="E62" s="3"/>
      <c r="F62" s="7"/>
      <c r="G62" s="7"/>
      <c r="H62" s="7"/>
      <c r="I62" s="7"/>
      <c r="J62" s="7"/>
    </row>
    <row x14ac:dyDescent="0.25" r="63" customHeight="1" ht="18.75" customFormat="1" s="1">
      <c r="A63" s="4" t="s">
        <v>733</v>
      </c>
      <c r="B63" s="39"/>
      <c r="C63" s="11">
        <f>IFERROR(B63/SUM($B$60:$B$65),0)</f>
      </c>
      <c r="D63" s="11">
        <f>IF(B63="","",IF(OR(MIN($B$60:$B$65)=0,MAX($B$60:$B$65)/MIN($B$60:$B$65)&gt;$B$9),"SEVERE_IMBALANCE",IF(MAX($B$60:$B$65)/MIN($B$60:$B$65)&gt;$B$8,"MILD_IMBALANCE","BALANCED")))</f>
      </c>
      <c r="E63" s="4"/>
      <c r="F63" s="7"/>
      <c r="G63" s="7"/>
      <c r="H63" s="7"/>
      <c r="I63" s="7"/>
      <c r="J63" s="7"/>
    </row>
    <row x14ac:dyDescent="0.25" r="64" customHeight="1" ht="18.75" customFormat="1" s="1">
      <c r="A64" s="3" t="s">
        <v>734</v>
      </c>
      <c r="B64" s="40"/>
      <c r="C64" s="10">
        <f>IFERROR(B64/SUM($B$60:$B$65),0)</f>
      </c>
      <c r="D64" s="10">
        <f>IF(B64="","",IF(OR(MIN($B$60:$B$65)=0,MAX($B$60:$B$65)/MIN($B$60:$B$65)&gt;$B$9),"SEVERE_IMBALANCE",IF(MAX($B$60:$B$65)/MIN($B$60:$B$65)&gt;$B$8,"MILD_IMBALANCE","BALANCED")))</f>
      </c>
      <c r="E64" s="3"/>
      <c r="F64" s="7"/>
      <c r="G64" s="7"/>
      <c r="H64" s="7"/>
      <c r="I64" s="7"/>
      <c r="J64" s="7"/>
    </row>
    <row x14ac:dyDescent="0.25" r="65" customHeight="1" ht="18.75" customFormat="1" s="1">
      <c r="A65" s="4" t="s">
        <v>735</v>
      </c>
      <c r="B65" s="39"/>
      <c r="C65" s="11">
        <f>IFERROR(B65/SUM($B$60:$B$65),0)</f>
      </c>
      <c r="D65" s="11">
        <f>IF(B65="","",IF(OR(MIN($B$60:$B$65)=0,MAX($B$60:$B$65)/MIN($B$60:$B$65)&gt;$B$9),"SEVERE_IMBALANCE",IF(MAX($B$60:$B$65)/MIN($B$60:$B$65)&gt;$B$8,"MILD_IMBALANCE","BALANCED")))</f>
      </c>
      <c r="E65" s="4"/>
      <c r="F65" s="7"/>
      <c r="G65" s="7"/>
      <c r="H65" s="7"/>
      <c r="I65" s="7"/>
      <c r="J65" s="7"/>
    </row>
    <row x14ac:dyDescent="0.25" r="66" customHeight="1" ht="18.75">
      <c r="A66" s="17"/>
      <c r="B66" s="23"/>
      <c r="C66" s="17"/>
      <c r="D66" s="17"/>
      <c r="E66" s="17"/>
      <c r="F66" s="16"/>
      <c r="G66" s="16"/>
      <c r="H66" s="16"/>
      <c r="I66" s="16"/>
      <c r="J66" s="16"/>
    </row>
    <row x14ac:dyDescent="0.25" r="67" customHeight="1" ht="18.75">
      <c r="A67" s="17"/>
      <c r="B67" s="23"/>
      <c r="C67" s="17"/>
      <c r="D67" s="17"/>
      <c r="E67" s="17"/>
      <c r="F67" s="16"/>
      <c r="G67" s="16"/>
      <c r="H67" s="16"/>
      <c r="I67" s="16"/>
      <c r="J67" s="16"/>
    </row>
    <row x14ac:dyDescent="0.25" r="68" customHeight="1" ht="18.75">
      <c r="A68" s="17"/>
      <c r="B68" s="23"/>
      <c r="C68" s="17"/>
      <c r="D68" s="17"/>
      <c r="E68" s="17"/>
      <c r="F68" s="16"/>
      <c r="G68" s="16"/>
      <c r="H68" s="16"/>
      <c r="I68" s="16"/>
      <c r="J68" s="16"/>
    </row>
    <row x14ac:dyDescent="0.25" r="69" customHeight="1" ht="18.75">
      <c r="A69" s="24" t="s">
        <v>736</v>
      </c>
      <c r="B69" s="35"/>
      <c r="C69" s="36"/>
      <c r="D69" s="36"/>
      <c r="E69" s="37"/>
      <c r="F69" s="16"/>
      <c r="G69" s="16"/>
      <c r="H69" s="16"/>
      <c r="I69" s="16"/>
      <c r="J69" s="16"/>
    </row>
    <row x14ac:dyDescent="0.25" r="70" customHeight="1" ht="18.75" customFormat="1" s="1">
      <c r="A70" s="2" t="s">
        <v>660</v>
      </c>
      <c r="B70" s="38" t="s">
        <v>697</v>
      </c>
      <c r="C70" s="2" t="s">
        <v>698</v>
      </c>
      <c r="D70" s="2" t="s">
        <v>699</v>
      </c>
      <c r="E70" s="2" t="s">
        <v>7</v>
      </c>
      <c r="F70" s="7"/>
      <c r="G70" s="7"/>
      <c r="H70" s="7"/>
      <c r="I70" s="7"/>
      <c r="J70" s="7"/>
    </row>
    <row x14ac:dyDescent="0.25" r="71" customHeight="1" ht="18.75" customFormat="1" s="1">
      <c r="A71" s="11">
        <f>IFERROR(Data_Selection_Design!$A2,"")</f>
      </c>
      <c r="B71" s="39"/>
      <c r="C71" s="11">
        <f>IFERROR(B71/SUM($B$71:$B$80),0)</f>
      </c>
      <c r="D71" s="11">
        <f>IF(B71="","",IF(B71&lt;$B$7,"SPARSE","OK"))</f>
      </c>
      <c r="E71" s="4"/>
      <c r="F71" s="7"/>
      <c r="G71" s="7"/>
      <c r="H71" s="7"/>
      <c r="I71" s="7"/>
      <c r="J71" s="7"/>
    </row>
    <row x14ac:dyDescent="0.25" r="72" customHeight="1" ht="18.75" customFormat="1" s="1">
      <c r="A72" s="10">
        <f>IFERROR(Data_Selection_Design!$A3,"")</f>
      </c>
      <c r="B72" s="40"/>
      <c r="C72" s="10">
        <f>IFERROR(B72/SUM($B$71:$B$80),0)</f>
      </c>
      <c r="D72" s="10">
        <f>IF(B72="","",IF(B72&lt;$B$7,"SPARSE","OK"))</f>
      </c>
      <c r="E72" s="3"/>
      <c r="F72" s="7"/>
      <c r="G72" s="7"/>
      <c r="H72" s="7"/>
      <c r="I72" s="7"/>
      <c r="J72" s="7"/>
    </row>
    <row x14ac:dyDescent="0.25" r="73" customHeight="1" ht="18.75" customFormat="1" s="1">
      <c r="A73" s="11">
        <f>IFERROR(Data_Selection_Design!$A4,"")</f>
      </c>
      <c r="B73" s="39"/>
      <c r="C73" s="11">
        <f>IFERROR(B73/SUM($B$71:$B$80),0)</f>
      </c>
      <c r="D73" s="11">
        <f>IF(B73="","",IF(B73&lt;$B$7,"SPARSE","OK"))</f>
      </c>
      <c r="E73" s="4"/>
      <c r="F73" s="7"/>
      <c r="G73" s="7"/>
      <c r="H73" s="7"/>
      <c r="I73" s="7"/>
      <c r="J73" s="7"/>
    </row>
    <row x14ac:dyDescent="0.25" r="74" customHeight="1" ht="18.75" customFormat="1" s="1">
      <c r="A74" s="10">
        <f>IFERROR(Data_Selection_Design!$A5,"")</f>
      </c>
      <c r="B74" s="40"/>
      <c r="C74" s="10">
        <f>IFERROR(B74/SUM($B$71:$B$80),0)</f>
      </c>
      <c r="D74" s="10">
        <f>IF(B74="","",IF(B74&lt;$B$7,"SPARSE","OK"))</f>
      </c>
      <c r="E74" s="3"/>
      <c r="F74" s="7"/>
      <c r="G74" s="7"/>
      <c r="H74" s="7"/>
      <c r="I74" s="7"/>
      <c r="J74" s="7"/>
    </row>
    <row x14ac:dyDescent="0.25" r="75" customHeight="1" ht="18.75" customFormat="1" s="1">
      <c r="A75" s="11">
        <f>IFERROR(Data_Selection_Design!$A6,"")</f>
      </c>
      <c r="B75" s="39"/>
      <c r="C75" s="11">
        <f>IFERROR(B75/SUM($B$71:$B$80),0)</f>
      </c>
      <c r="D75" s="11">
        <f>IF(B75="","",IF(B75&lt;$B$7,"SPARSE","OK"))</f>
      </c>
      <c r="E75" s="4"/>
      <c r="F75" s="7"/>
      <c r="G75" s="7"/>
      <c r="H75" s="7"/>
      <c r="I75" s="7"/>
      <c r="J75" s="7"/>
    </row>
    <row x14ac:dyDescent="0.25" r="76" customHeight="1" ht="18.75" customFormat="1" s="1">
      <c r="A76" s="10">
        <f>IFERROR(Data_Selection_Design!$A7,"")</f>
      </c>
      <c r="B76" s="40"/>
      <c r="C76" s="10">
        <f>IFERROR(B76/SUM($B$71:$B$80),0)</f>
      </c>
      <c r="D76" s="10">
        <f>IF(B76="","",IF(B76&lt;$B$7,"SPARSE","OK"))</f>
      </c>
      <c r="E76" s="3"/>
      <c r="F76" s="7"/>
      <c r="G76" s="7"/>
      <c r="H76" s="7"/>
      <c r="I76" s="7"/>
      <c r="J76" s="7"/>
    </row>
    <row x14ac:dyDescent="0.25" r="77" customHeight="1" ht="18.75" customFormat="1" s="1">
      <c r="A77" s="11">
        <f>IFERROR(Data_Selection_Design!$A8,"")</f>
      </c>
      <c r="B77" s="39"/>
      <c r="C77" s="11">
        <f>IFERROR(B77/SUM($B$71:$B$80),0)</f>
      </c>
      <c r="D77" s="11">
        <f>IF(B77="","",IF(B77&lt;$B$7,"SPARSE","OK"))</f>
      </c>
      <c r="E77" s="4"/>
      <c r="F77" s="7"/>
      <c r="G77" s="7"/>
      <c r="H77" s="7"/>
      <c r="I77" s="7"/>
      <c r="J77" s="7"/>
    </row>
    <row x14ac:dyDescent="0.25" r="78" customHeight="1" ht="18.75" customFormat="1" s="1">
      <c r="A78" s="10">
        <f>IFERROR(Data_Selection_Design!$A9,"")</f>
      </c>
      <c r="B78" s="40"/>
      <c r="C78" s="10">
        <f>IFERROR(B78/SUM($B$71:$B$80),0)</f>
      </c>
      <c r="D78" s="10">
        <f>IF(B78="","",IF(B78&lt;$B$7,"SPARSE","OK"))</f>
      </c>
      <c r="E78" s="3"/>
      <c r="F78" s="7"/>
      <c r="G78" s="7"/>
      <c r="H78" s="7"/>
      <c r="I78" s="7"/>
      <c r="J78" s="7"/>
    </row>
    <row x14ac:dyDescent="0.25" r="79" customHeight="1" ht="18.75" customFormat="1" s="1">
      <c r="A79" s="11">
        <f>IFERROR(Data_Selection_Design!$A10,"")</f>
      </c>
      <c r="B79" s="39"/>
      <c r="C79" s="11">
        <f>IFERROR(B79/SUM($B$71:$B$80),0)</f>
      </c>
      <c r="D79" s="11">
        <f>IF(B79="","",IF(B79&lt;$B$7,"SPARSE","OK"))</f>
      </c>
      <c r="E79" s="4"/>
      <c r="F79" s="7"/>
      <c r="G79" s="7"/>
      <c r="H79" s="7"/>
      <c r="I79" s="7"/>
      <c r="J79" s="7"/>
    </row>
    <row x14ac:dyDescent="0.25" r="80" customHeight="1" ht="18.75" customFormat="1" s="1">
      <c r="A80" s="10">
        <f>IFERROR(Data_Selection_Design!$A11,"")</f>
      </c>
      <c r="B80" s="40"/>
      <c r="C80" s="10">
        <f>IFERROR(B80/SUM($B$71:$B$80),0)</f>
      </c>
      <c r="D80" s="10">
        <f>IF(B80="","",IF(B80&lt;$B$7,"SPARSE","OK"))</f>
      </c>
      <c r="E80" s="3"/>
      <c r="F80" s="7"/>
      <c r="G80" s="7"/>
      <c r="H80" s="7"/>
      <c r="I80" s="7"/>
      <c r="J80" s="7"/>
    </row>
  </sheetData>
  <mergeCells count="8">
    <mergeCell ref="A1:J1"/>
    <mergeCell ref="B3:J4"/>
    <mergeCell ref="A11:E11"/>
    <mergeCell ref="A23:E23"/>
    <mergeCell ref="A37:E37"/>
    <mergeCell ref="A48:E48"/>
    <mergeCell ref="A58:E58"/>
    <mergeCell ref="A69:E69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41"/>
  <sheetViews>
    <sheetView workbookViewId="0"/>
  </sheetViews>
  <sheetFormatPr defaultRowHeight="15" x14ac:dyDescent="0.25"/>
  <cols>
    <col min="1" max="1" style="5" width="18.005" customWidth="1" bestFit="1"/>
    <col min="2" max="2" style="5" width="13.005" customWidth="1" bestFit="1"/>
    <col min="3" max="3" style="5" width="12.005" customWidth="1" bestFit="1"/>
    <col min="4" max="4" style="5" width="20.005" customWidth="1" bestFit="1"/>
    <col min="5" max="5" style="5" width="22.005" customWidth="1" bestFit="1"/>
    <col min="6" max="6" style="5" width="12.005" customWidth="1" bestFit="1"/>
    <col min="7" max="7" style="5" width="16.005" customWidth="1" bestFit="1"/>
    <col min="8" max="8" style="5" width="22.005" customWidth="1" bestFit="1"/>
    <col min="9" max="9" style="5" width="30.005" customWidth="1" bestFit="1"/>
    <col min="10" max="10" style="5" width="12.005" customWidth="1" bestFit="1"/>
    <col min="11" max="11" style="5" width="16.005" customWidth="1" bestFit="1"/>
    <col min="12" max="12" style="5" width="24.005" customWidth="1" bestFit="1"/>
    <col min="13" max="13" style="5" width="22.005" customWidth="1" bestFit="1"/>
    <col min="14" max="14" style="5" width="22.005" customWidth="1" bestFit="1"/>
    <col min="15" max="15" style="5" width="18.005" customWidth="1" bestFit="1"/>
    <col min="16" max="16" style="5" width="18.005" customWidth="1" bestFit="1"/>
    <col min="17" max="17" style="5" width="18.005" customWidth="1" bestFit="1"/>
    <col min="18" max="18" style="5" width="20.005" customWidth="1" bestFit="1"/>
    <col min="19" max="19" style="5" width="16.005" customWidth="1" bestFit="1"/>
    <col min="20" max="20" style="5" width="22.005" customWidth="1" bestFit="1"/>
    <col min="21" max="21" style="5" width="18.005" customWidth="1" bestFit="1"/>
    <col min="22" max="22" style="5" width="18.005" customWidth="1" bestFit="1"/>
    <col min="23" max="23" style="5" width="22.005" customWidth="1" bestFit="1"/>
    <col min="24" max="24" style="5" width="12.005" customWidth="1" bestFit="1"/>
    <col min="25" max="25" style="5" width="20.005" customWidth="1" bestFit="1"/>
    <col min="26" max="26" style="5" width="18.005" customWidth="1" bestFit="1"/>
    <col min="27" max="27" style="5" width="20.005" customWidth="1" bestFit="1"/>
    <col min="28" max="28" style="5" width="18.005" customWidth="1" bestFit="1"/>
    <col min="29" max="29" style="5" width="18.005" customWidth="1" bestFit="1"/>
    <col min="30" max="30" style="5" width="18.005" customWidth="1" bestFit="1"/>
    <col min="31" max="31" style="5" width="30.005" customWidth="1" bestFit="1"/>
    <col min="32" max="32" style="5" width="28.005" customWidth="1" bestFit="1"/>
    <col min="33" max="33" style="5" width="34.005" customWidth="1" bestFit="1"/>
    <col min="34" max="34" style="5" width="12.005" customWidth="1" bestFit="1"/>
    <col min="35" max="35" style="5" width="14.005" customWidth="1" bestFit="1"/>
    <col min="36" max="36" style="5" width="36.005" customWidth="1" bestFit="1"/>
    <col min="37" max="37" style="5" width="28.005" customWidth="1" bestFit="1"/>
  </cols>
  <sheetData>
    <row x14ac:dyDescent="0.25" r="1" customHeight="1" ht="18.75" customFormat="1" s="1">
      <c r="A1" s="2" t="s">
        <v>656</v>
      </c>
      <c r="B1" s="2" t="s">
        <v>423</v>
      </c>
      <c r="C1" s="2" t="s">
        <v>657</v>
      </c>
      <c r="D1" s="2" t="s">
        <v>658</v>
      </c>
      <c r="E1" s="2" t="s">
        <v>659</v>
      </c>
      <c r="F1" s="2" t="s">
        <v>660</v>
      </c>
      <c r="G1" s="2" t="s">
        <v>661</v>
      </c>
      <c r="H1" s="2" t="s">
        <v>662</v>
      </c>
      <c r="I1" s="2" t="s">
        <v>663</v>
      </c>
      <c r="J1" s="2" t="s">
        <v>664</v>
      </c>
      <c r="K1" s="2" t="s">
        <v>665</v>
      </c>
      <c r="L1" s="2" t="s">
        <v>666</v>
      </c>
      <c r="M1" s="2" t="s">
        <v>667</v>
      </c>
      <c r="N1" s="2" t="s">
        <v>668</v>
      </c>
      <c r="O1" s="2" t="s">
        <v>194</v>
      </c>
      <c r="P1" s="2" t="s">
        <v>669</v>
      </c>
      <c r="Q1" s="2" t="s">
        <v>670</v>
      </c>
      <c r="R1" s="2" t="s">
        <v>671</v>
      </c>
      <c r="S1" s="2" t="s">
        <v>672</v>
      </c>
      <c r="T1" s="2" t="s">
        <v>673</v>
      </c>
      <c r="U1" s="2" t="s">
        <v>174</v>
      </c>
      <c r="V1" s="2" t="s">
        <v>175</v>
      </c>
      <c r="W1" s="2" t="s">
        <v>176</v>
      </c>
      <c r="X1" s="2" t="s">
        <v>674</v>
      </c>
      <c r="Y1" s="2" t="s">
        <v>675</v>
      </c>
      <c r="Z1" s="2" t="s">
        <v>188</v>
      </c>
      <c r="AA1" s="2" t="s">
        <v>189</v>
      </c>
      <c r="AB1" s="2" t="s">
        <v>676</v>
      </c>
      <c r="AC1" s="2" t="s">
        <v>677</v>
      </c>
      <c r="AD1" s="2" t="s">
        <v>678</v>
      </c>
      <c r="AE1" s="2" t="s">
        <v>679</v>
      </c>
      <c r="AF1" s="2" t="s">
        <v>680</v>
      </c>
      <c r="AG1" s="2" t="s">
        <v>681</v>
      </c>
      <c r="AH1" s="2" t="s">
        <v>171</v>
      </c>
      <c r="AI1" s="2" t="s">
        <v>172</v>
      </c>
      <c r="AJ1" s="2" t="s">
        <v>682</v>
      </c>
      <c r="AK1" s="2" t="s">
        <v>7</v>
      </c>
    </row>
    <row x14ac:dyDescent="0.25" r="2" customHeight="1" ht="18.75" customFormat="1" s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x14ac:dyDescent="0.25" r="3" customHeight="1" ht="18.75" customFormat="1" s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x14ac:dyDescent="0.25" r="4" customHeight="1" ht="18.75" customFormat="1" s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x14ac:dyDescent="0.25" r="5" customHeight="1" ht="18.75" customFormat="1" s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x14ac:dyDescent="0.25" r="6" customHeight="1" ht="18.75" customFormat="1" s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x14ac:dyDescent="0.25" r="7" customHeight="1" ht="18.75" customFormat="1" s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2"/>
  <sheetViews>
    <sheetView workbookViewId="0"/>
  </sheetViews>
  <sheetFormatPr defaultRowHeight="15" x14ac:dyDescent="0.25"/>
  <cols>
    <col min="1" max="1" style="5" width="8.005" customWidth="1" bestFit="1"/>
    <col min="2" max="2" style="5" width="24.005" customWidth="1" bestFit="1"/>
    <col min="3" max="3" style="5" width="18.005" customWidth="1" bestFit="1"/>
    <col min="4" max="4" style="5" width="26.005" customWidth="1" bestFit="1"/>
    <col min="5" max="5" style="5" width="26.005" customWidth="1" bestFit="1"/>
    <col min="6" max="6" style="5" width="28.005" customWidth="1" bestFit="1"/>
    <col min="7" max="7" style="5" width="28.005" customWidth="1" bestFit="1"/>
    <col min="8" max="8" style="5" width="28.005" customWidth="1" bestFit="1"/>
    <col min="9" max="9" style="5" width="28.005" customWidth="1" bestFit="1"/>
    <col min="10" max="10" style="5" width="28.005" customWidth="1" bestFit="1"/>
    <col min="11" max="11" style="5" width="24.005" customWidth="1" bestFit="1"/>
    <col min="12" max="12" style="5" width="12.005" customWidth="1" bestFit="1"/>
    <col min="13" max="13" style="5" width="12.005" customWidth="1" bestFit="1"/>
    <col min="14" max="14" style="5" width="26.005" customWidth="1" bestFit="1"/>
  </cols>
  <sheetData>
    <row x14ac:dyDescent="0.25" r="1" customHeight="1" ht="34.1796875" customFormat="1" s="1">
      <c r="A1" s="2" t="s">
        <v>554</v>
      </c>
      <c r="B1" s="2" t="s">
        <v>555</v>
      </c>
      <c r="C1" s="2" t="s">
        <v>168</v>
      </c>
      <c r="D1" s="2" t="s">
        <v>556</v>
      </c>
      <c r="E1" s="2" t="s">
        <v>557</v>
      </c>
      <c r="F1" s="2" t="s">
        <v>558</v>
      </c>
      <c r="G1" s="2" t="s">
        <v>559</v>
      </c>
      <c r="H1" s="2" t="s">
        <v>560</v>
      </c>
      <c r="I1" s="2" t="s">
        <v>561</v>
      </c>
      <c r="J1" s="2" t="s">
        <v>562</v>
      </c>
      <c r="K1" s="2" t="s">
        <v>563</v>
      </c>
      <c r="L1" s="2" t="s">
        <v>564</v>
      </c>
      <c r="M1" s="2" t="s">
        <v>173</v>
      </c>
      <c r="N1" s="2" t="s">
        <v>55</v>
      </c>
    </row>
    <row x14ac:dyDescent="0.25" r="2" customHeight="1" ht="51.26953125" customFormat="1" s="1">
      <c r="A2" s="3" t="s">
        <v>565</v>
      </c>
      <c r="B2" s="3" t="s">
        <v>566</v>
      </c>
      <c r="C2" s="3" t="s">
        <v>221</v>
      </c>
      <c r="D2" s="3" t="s">
        <v>567</v>
      </c>
      <c r="E2" s="3" t="s">
        <v>568</v>
      </c>
      <c r="F2" s="3" t="s">
        <v>569</v>
      </c>
      <c r="G2" s="3" t="s">
        <v>570</v>
      </c>
      <c r="H2" s="3"/>
      <c r="I2" s="3"/>
      <c r="J2" s="3" t="s">
        <v>571</v>
      </c>
      <c r="K2" s="3" t="s">
        <v>572</v>
      </c>
      <c r="L2" s="3"/>
      <c r="M2" s="3" t="s">
        <v>14</v>
      </c>
      <c r="N2" s="3" t="s">
        <v>573</v>
      </c>
    </row>
    <row x14ac:dyDescent="0.25" r="3" customHeight="1" ht="68.359375" customFormat="1" s="1">
      <c r="A3" s="4" t="s">
        <v>574</v>
      </c>
      <c r="B3" s="4" t="s">
        <v>575</v>
      </c>
      <c r="C3" s="4" t="s">
        <v>257</v>
      </c>
      <c r="D3" s="4" t="s">
        <v>576</v>
      </c>
      <c r="E3" s="4" t="s">
        <v>577</v>
      </c>
      <c r="F3" s="4" t="s">
        <v>578</v>
      </c>
      <c r="G3" s="4" t="s">
        <v>579</v>
      </c>
      <c r="H3" s="4"/>
      <c r="I3" s="4"/>
      <c r="J3" s="4" t="s">
        <v>580</v>
      </c>
      <c r="K3" s="4" t="s">
        <v>581</v>
      </c>
      <c r="L3" s="4"/>
      <c r="M3" s="4" t="s">
        <v>14</v>
      </c>
      <c r="N3" s="4" t="s">
        <v>582</v>
      </c>
    </row>
    <row x14ac:dyDescent="0.25" r="4" customHeight="1" ht="51.26953125" customFormat="1" s="1">
      <c r="A4" s="3" t="s">
        <v>583</v>
      </c>
      <c r="B4" s="3" t="s">
        <v>584</v>
      </c>
      <c r="C4" s="3" t="s">
        <v>301</v>
      </c>
      <c r="D4" s="3" t="s">
        <v>585</v>
      </c>
      <c r="E4" s="3" t="s">
        <v>454</v>
      </c>
      <c r="F4" s="3" t="s">
        <v>586</v>
      </c>
      <c r="G4" s="3" t="s">
        <v>587</v>
      </c>
      <c r="H4" s="3"/>
      <c r="I4" s="3"/>
      <c r="J4" s="3" t="s">
        <v>588</v>
      </c>
      <c r="K4" s="3" t="s">
        <v>589</v>
      </c>
      <c r="L4" s="3"/>
      <c r="M4" s="3" t="s">
        <v>14</v>
      </c>
      <c r="N4" s="3" t="s">
        <v>590</v>
      </c>
    </row>
    <row x14ac:dyDescent="0.25" r="5" customHeight="1" ht="51.26953125" customFormat="1" s="1">
      <c r="A5" s="4" t="s">
        <v>591</v>
      </c>
      <c r="B5" s="4" t="s">
        <v>592</v>
      </c>
      <c r="C5" s="4" t="s">
        <v>301</v>
      </c>
      <c r="D5" s="4" t="s">
        <v>593</v>
      </c>
      <c r="E5" s="4" t="s">
        <v>458</v>
      </c>
      <c r="F5" s="4" t="s">
        <v>594</v>
      </c>
      <c r="G5" s="4" t="s">
        <v>595</v>
      </c>
      <c r="H5" s="4"/>
      <c r="I5" s="4"/>
      <c r="J5" s="4" t="s">
        <v>596</v>
      </c>
      <c r="K5" s="4" t="s">
        <v>597</v>
      </c>
      <c r="L5" s="4"/>
      <c r="M5" s="4" t="s">
        <v>14</v>
      </c>
      <c r="N5" s="4" t="s">
        <v>598</v>
      </c>
    </row>
    <row x14ac:dyDescent="0.25" r="6" customHeight="1" ht="51.26953125" customFormat="1" s="1">
      <c r="A6" s="3" t="s">
        <v>599</v>
      </c>
      <c r="B6" s="3" t="s">
        <v>600</v>
      </c>
      <c r="C6" s="3" t="s">
        <v>301</v>
      </c>
      <c r="D6" s="3" t="s">
        <v>601</v>
      </c>
      <c r="E6" s="3" t="s">
        <v>462</v>
      </c>
      <c r="F6" s="3" t="s">
        <v>602</v>
      </c>
      <c r="G6" s="3" t="s">
        <v>603</v>
      </c>
      <c r="H6" s="3"/>
      <c r="I6" s="3"/>
      <c r="J6" s="3" t="s">
        <v>604</v>
      </c>
      <c r="K6" s="3" t="s">
        <v>605</v>
      </c>
      <c r="L6" s="3"/>
      <c r="M6" s="3" t="s">
        <v>14</v>
      </c>
      <c r="N6" s="3" t="s">
        <v>606</v>
      </c>
    </row>
    <row x14ac:dyDescent="0.25" r="7" customHeight="1" ht="51.26953125" customFormat="1" s="1">
      <c r="A7" s="4" t="s">
        <v>607</v>
      </c>
      <c r="B7" s="4" t="s">
        <v>608</v>
      </c>
      <c r="C7" s="4" t="s">
        <v>341</v>
      </c>
      <c r="D7" s="4" t="s">
        <v>609</v>
      </c>
      <c r="E7" s="4" t="s">
        <v>610</v>
      </c>
      <c r="F7" s="4" t="s">
        <v>611</v>
      </c>
      <c r="G7" s="4" t="s">
        <v>612</v>
      </c>
      <c r="H7" s="4"/>
      <c r="I7" s="4"/>
      <c r="J7" s="4" t="s">
        <v>613</v>
      </c>
      <c r="K7" s="4" t="s">
        <v>614</v>
      </c>
      <c r="L7" s="4"/>
      <c r="M7" s="4" t="s">
        <v>14</v>
      </c>
      <c r="N7" s="4" t="s">
        <v>615</v>
      </c>
    </row>
    <row x14ac:dyDescent="0.25" r="8" customHeight="1" ht="51.26953125" customFormat="1" s="1">
      <c r="A8" s="3" t="s">
        <v>616</v>
      </c>
      <c r="B8" s="3" t="s">
        <v>617</v>
      </c>
      <c r="C8" s="3" t="s">
        <v>341</v>
      </c>
      <c r="D8" s="3" t="s">
        <v>618</v>
      </c>
      <c r="E8" s="3" t="s">
        <v>474</v>
      </c>
      <c r="F8" s="3" t="s">
        <v>619</v>
      </c>
      <c r="G8" s="3" t="s">
        <v>620</v>
      </c>
      <c r="H8" s="3"/>
      <c r="I8" s="3"/>
      <c r="J8" s="3" t="s">
        <v>621</v>
      </c>
      <c r="K8" s="3" t="s">
        <v>622</v>
      </c>
      <c r="L8" s="3"/>
      <c r="M8" s="3" t="s">
        <v>14</v>
      </c>
      <c r="N8" s="3" t="s">
        <v>623</v>
      </c>
    </row>
    <row x14ac:dyDescent="0.25" r="9" customHeight="1" ht="51.26953125" customFormat="1" s="1">
      <c r="A9" s="4" t="s">
        <v>16</v>
      </c>
      <c r="B9" s="4" t="s">
        <v>624</v>
      </c>
      <c r="C9" s="4" t="s">
        <v>404</v>
      </c>
      <c r="D9" s="4" t="s">
        <v>625</v>
      </c>
      <c r="E9" s="4" t="s">
        <v>626</v>
      </c>
      <c r="F9" s="4" t="s">
        <v>627</v>
      </c>
      <c r="G9" s="4" t="s">
        <v>628</v>
      </c>
      <c r="H9" s="4"/>
      <c r="I9" s="4"/>
      <c r="J9" s="4" t="s">
        <v>629</v>
      </c>
      <c r="K9" s="4" t="s">
        <v>630</v>
      </c>
      <c r="L9" s="4"/>
      <c r="M9" s="4" t="s">
        <v>14</v>
      </c>
      <c r="N9" s="4" t="s">
        <v>631</v>
      </c>
    </row>
    <row x14ac:dyDescent="0.25" r="10" customHeight="1" ht="85.44921875" customFormat="1" s="1">
      <c r="A10" s="8" t="s">
        <v>632</v>
      </c>
      <c r="B10" s="8" t="s">
        <v>633</v>
      </c>
      <c r="C10" s="8" t="s">
        <v>393</v>
      </c>
      <c r="D10" s="8" t="s">
        <v>634</v>
      </c>
      <c r="E10" s="8" t="s">
        <v>22</v>
      </c>
      <c r="F10" s="8" t="s">
        <v>635</v>
      </c>
      <c r="G10" s="8" t="s">
        <v>636</v>
      </c>
      <c r="H10" s="8"/>
      <c r="I10" s="8"/>
      <c r="J10" s="8" t="s">
        <v>637</v>
      </c>
      <c r="K10" s="8" t="s">
        <v>638</v>
      </c>
      <c r="L10" s="8"/>
      <c r="M10" s="8" t="s">
        <v>14</v>
      </c>
      <c r="N10" s="8" t="s">
        <v>639</v>
      </c>
    </row>
    <row x14ac:dyDescent="0.25" r="11" customHeight="1" ht="68.359375" customFormat="1" s="1">
      <c r="A11" s="8" t="s">
        <v>640</v>
      </c>
      <c r="B11" s="8" t="s">
        <v>641</v>
      </c>
      <c r="C11" s="8" t="s">
        <v>393</v>
      </c>
      <c r="D11" s="8" t="s">
        <v>642</v>
      </c>
      <c r="E11" s="8" t="s">
        <v>104</v>
      </c>
      <c r="F11" s="8" t="s">
        <v>643</v>
      </c>
      <c r="G11" s="8" t="s">
        <v>644</v>
      </c>
      <c r="H11" s="8"/>
      <c r="I11" s="8"/>
      <c r="J11" s="8" t="s">
        <v>645</v>
      </c>
      <c r="K11" s="8" t="s">
        <v>646</v>
      </c>
      <c r="L11" s="8"/>
      <c r="M11" s="8" t="s">
        <v>14</v>
      </c>
      <c r="N11" s="8" t="s">
        <v>647</v>
      </c>
    </row>
    <row x14ac:dyDescent="0.25" r="12" customHeight="1" ht="68.359375" customFormat="1" s="1">
      <c r="A12" s="8" t="s">
        <v>648</v>
      </c>
      <c r="B12" s="8" t="s">
        <v>649</v>
      </c>
      <c r="C12" s="8" t="s">
        <v>393</v>
      </c>
      <c r="D12" s="8" t="s">
        <v>650</v>
      </c>
      <c r="E12" s="8" t="s">
        <v>41</v>
      </c>
      <c r="F12" s="8" t="s">
        <v>651</v>
      </c>
      <c r="G12" s="8" t="s">
        <v>652</v>
      </c>
      <c r="H12" s="8"/>
      <c r="I12" s="8"/>
      <c r="J12" s="8" t="s">
        <v>653</v>
      </c>
      <c r="K12" s="8" t="s">
        <v>654</v>
      </c>
      <c r="L12" s="8"/>
      <c r="M12" s="8" t="s">
        <v>14</v>
      </c>
      <c r="N12" s="8" t="s">
        <v>655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1"/>
  <sheetViews>
    <sheetView workbookViewId="0"/>
  </sheetViews>
  <sheetFormatPr defaultRowHeight="15" x14ac:dyDescent="0.25"/>
  <cols>
    <col min="1" max="1" style="5" width="8.005" customWidth="1" bestFit="1"/>
    <col min="2" max="2" style="5" width="24.005" customWidth="1" bestFit="1"/>
    <col min="3" max="3" style="5" width="24.005" customWidth="1" bestFit="1"/>
    <col min="4" max="4" style="5" width="24.005" customWidth="1" bestFit="1"/>
    <col min="5" max="5" style="5" width="14.005" customWidth="1" bestFit="1"/>
    <col min="6" max="6" style="5" width="14.005" customWidth="1" bestFit="1"/>
    <col min="7" max="7" style="5" width="14.005" customWidth="1" bestFit="1"/>
    <col min="8" max="8" style="5" width="14.005" customWidth="1" bestFit="1"/>
    <col min="9" max="9" style="5" width="14.005" customWidth="1" bestFit="1"/>
    <col min="10" max="10" style="5" width="14.005" customWidth="1" bestFit="1"/>
    <col min="11" max="11" style="5" width="24.005" customWidth="1" bestFit="1"/>
    <col min="12" max="12" style="5" width="24.005" customWidth="1" bestFit="1"/>
  </cols>
  <sheetData>
    <row x14ac:dyDescent="0.25" r="1" customHeight="1" ht="51.26953125" customFormat="1" s="1">
      <c r="A1" s="2" t="s">
        <v>423</v>
      </c>
      <c r="B1" s="2" t="s">
        <v>526</v>
      </c>
      <c r="C1" s="2" t="s">
        <v>527</v>
      </c>
      <c r="D1" s="2" t="s">
        <v>528</v>
      </c>
      <c r="E1" s="2" t="s">
        <v>6</v>
      </c>
      <c r="F1" s="2" t="s">
        <v>529</v>
      </c>
      <c r="G1" s="2" t="s">
        <v>343</v>
      </c>
      <c r="H1" s="2" t="s">
        <v>179</v>
      </c>
      <c r="I1" s="2" t="s">
        <v>180</v>
      </c>
      <c r="J1" s="2" t="s">
        <v>530</v>
      </c>
      <c r="K1" s="2" t="s">
        <v>531</v>
      </c>
      <c r="L1" s="2" t="s">
        <v>532</v>
      </c>
    </row>
    <row x14ac:dyDescent="0.25" r="2" customHeight="1" ht="34.1796875" customFormat="1" s="1">
      <c r="A2" s="3" t="s">
        <v>478</v>
      </c>
      <c r="B2" s="3" t="s">
        <v>533</v>
      </c>
      <c r="C2" s="3" t="s">
        <v>534</v>
      </c>
      <c r="D2" s="3" t="s">
        <v>535</v>
      </c>
      <c r="E2" s="10">
        <f>IFERROR(INDEX(Master_Experiments!$AA:$AA,MATCH($A2,Master_Experiments!$A:$A,0)),"Planned")</f>
      </c>
      <c r="F2" s="10">
        <f>IF(AND($J2="YES",IFERROR(INDEX(Master_Experiments!$AF:$AF,MATCH($A2,Master_Experiments!$A:$A,0)),"INCOMPLETE")="READY"),"YES","NO")</f>
      </c>
      <c r="G2" s="10">
        <f>IF(IFERROR(INDEX(Master_Experiments!$AA:$AA,MATCH($A2,Master_Experiments!$A:$A,0)),"Planned")="Completed","YES","NO")</f>
      </c>
      <c r="H2" s="3" t="s">
        <v>536</v>
      </c>
      <c r="I2" s="3" t="s">
        <v>537</v>
      </c>
      <c r="J2" s="10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</c>
      <c r="K2" s="10">
        <f>IFERROR(INDEX(Master_Experiments!$AC:$AC,MATCH($A2,Master_Experiments!$A:$A,0)),"")</f>
      </c>
      <c r="L2" s="3" t="s">
        <v>223</v>
      </c>
    </row>
    <row x14ac:dyDescent="0.25" r="3" customHeight="1" ht="34.1796875" customFormat="1" s="1">
      <c r="A3" s="4" t="s">
        <v>483</v>
      </c>
      <c r="B3" s="4" t="s">
        <v>538</v>
      </c>
      <c r="C3" s="4" t="s">
        <v>534</v>
      </c>
      <c r="D3" s="4" t="s">
        <v>539</v>
      </c>
      <c r="E3" s="11">
        <f>IFERROR(INDEX(Master_Experiments!$AA:$AA,MATCH($A3,Master_Experiments!$A:$A,0)),"Planned")</f>
      </c>
      <c r="F3" s="11">
        <f>IF(AND($J3="YES",IFERROR(INDEX(Master_Experiments!$AF:$AF,MATCH($A3,Master_Experiments!$A:$A,0)),"INCOMPLETE")="READY"),"YES","NO")</f>
      </c>
      <c r="G3" s="11">
        <f>IF(IFERROR(INDEX(Master_Experiments!$AA:$AA,MATCH($A3,Master_Experiments!$A:$A,0)),"Planned")="Completed","YES","NO")</f>
      </c>
      <c r="H3" s="4" t="s">
        <v>536</v>
      </c>
      <c r="I3" s="4" t="s">
        <v>537</v>
      </c>
      <c r="J3" s="11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</c>
      <c r="K3" s="11">
        <f>IFERROR(INDEX(Master_Experiments!$AC:$AC,MATCH($A3,Master_Experiments!$A:$A,0)),"")</f>
      </c>
      <c r="L3" s="4" t="s">
        <v>223</v>
      </c>
    </row>
    <row x14ac:dyDescent="0.25" r="4" customHeight="1" ht="51.26953125" customFormat="1" s="1">
      <c r="A4" s="3" t="s">
        <v>486</v>
      </c>
      <c r="B4" s="3" t="s">
        <v>540</v>
      </c>
      <c r="C4" s="3" t="s">
        <v>534</v>
      </c>
      <c r="D4" s="3" t="s">
        <v>541</v>
      </c>
      <c r="E4" s="10">
        <f>IFERROR(INDEX(Master_Experiments!$AA:$AA,MATCH($A4,Master_Experiments!$A:$A,0)),"Planned")</f>
      </c>
      <c r="F4" s="10">
        <f>IF(AND($J4="YES",IFERROR(INDEX(Master_Experiments!$AF:$AF,MATCH($A4,Master_Experiments!$A:$A,0)),"INCOMPLETE")="READY"),"YES","NO")</f>
      </c>
      <c r="G4" s="10">
        <f>IF(IFERROR(INDEX(Master_Experiments!$AA:$AA,MATCH($A4,Master_Experiments!$A:$A,0)),"Planned")="Completed","YES","NO")</f>
      </c>
      <c r="H4" s="3" t="s">
        <v>536</v>
      </c>
      <c r="I4" s="3" t="s">
        <v>537</v>
      </c>
      <c r="J4" s="10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</c>
      <c r="K4" s="10">
        <f>IFERROR(INDEX(Master_Experiments!$AC:$AC,MATCH($A4,Master_Experiments!$A:$A,0)),"")</f>
      </c>
      <c r="L4" s="3" t="s">
        <v>223</v>
      </c>
    </row>
    <row x14ac:dyDescent="0.25" r="5" customHeight="1" ht="34.1796875" customFormat="1" s="1">
      <c r="A5" s="4" t="s">
        <v>9</v>
      </c>
      <c r="B5" s="4" t="s">
        <v>542</v>
      </c>
      <c r="C5" s="4" t="s">
        <v>534</v>
      </c>
      <c r="D5" s="4" t="s">
        <v>543</v>
      </c>
      <c r="E5" s="11">
        <f>IFERROR(INDEX(Master_Experiments!$AA:$AA,MATCH($A5,Master_Experiments!$A:$A,0)),"Planned")</f>
      </c>
      <c r="F5" s="11">
        <f>IF(AND($J5="YES",IFERROR(INDEX(Master_Experiments!$AF:$AF,MATCH($A5,Master_Experiments!$A:$A,0)),"INCOMPLETE")="READY"),"YES","NO")</f>
      </c>
      <c r="G5" s="11">
        <f>IF(IFERROR(INDEX(Master_Experiments!$AA:$AA,MATCH($A5,Master_Experiments!$A:$A,0)),"Planned")="Completed","YES","NO")</f>
      </c>
      <c r="H5" s="4" t="s">
        <v>536</v>
      </c>
      <c r="I5" s="4" t="s">
        <v>537</v>
      </c>
      <c r="J5" s="11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</c>
      <c r="K5" s="11">
        <f>IFERROR(INDEX(Master_Experiments!$AC:$AC,MATCH($A5,Master_Experiments!$A:$A,0)),"")</f>
      </c>
      <c r="L5" s="4" t="s">
        <v>223</v>
      </c>
    </row>
    <row x14ac:dyDescent="0.25" r="6" customHeight="1" ht="34.1796875" customFormat="1" s="1">
      <c r="A6" s="3" t="s">
        <v>499</v>
      </c>
      <c r="B6" s="3" t="s">
        <v>544</v>
      </c>
      <c r="C6" s="3" t="s">
        <v>534</v>
      </c>
      <c r="D6" s="3" t="s">
        <v>502</v>
      </c>
      <c r="E6" s="10">
        <f>IFERROR(INDEX(Master_Experiments!$AA:$AA,MATCH($A6,Master_Experiments!$A:$A,0)),"Planned")</f>
      </c>
      <c r="F6" s="10">
        <f>IF(AND($J6="YES",IFERROR(INDEX(Master_Experiments!$AF:$AF,MATCH($A6,Master_Experiments!$A:$A,0)),"INCOMPLETE")="READY"),"YES","NO")</f>
      </c>
      <c r="G6" s="10">
        <f>IF(IFERROR(INDEX(Master_Experiments!$AA:$AA,MATCH($A6,Master_Experiments!$A:$A,0)),"Planned")="Completed","YES","NO")</f>
      </c>
      <c r="H6" s="3" t="s">
        <v>536</v>
      </c>
      <c r="I6" s="3" t="s">
        <v>537</v>
      </c>
      <c r="J6" s="10">
        <f>IF(AND(COUNTIFS(Decision_Log!$A:$A,"D01",Decision_Log!$M:$M,"Locked")&gt;0,COUNTIFS(Decision_Log!$A:$A,"D02",Decision_Log!$M:$M,"Locked")&gt;0,COUNTIFS(Decision_Log!$A:$A,"D03",Decision_Log!$M:$M,"Locked")&gt;0,COUNTIFS(Decision_Log!$A:$A,"D04",Decision_Log!$M:$M,"Locked")&gt;0,COUNTIFS(Decision_Log!$A:$A,"D05",Decision_Log!$M:$M,"Locked")&gt;0,COUNTIFS(Decision_Log!$A:$A,"D06",Decision_Log!$M:$M,"Locked")&gt;0,COUNTIFS(Decision_Log!$A:$A,"D07",Decision_Log!$M:$M,"Locked")&gt;0),"YES","NO")</f>
      </c>
      <c r="K6" s="10">
        <f>IFERROR(INDEX(Master_Experiments!$AC:$AC,MATCH($A6,Master_Experiments!$A:$A,0)),"")</f>
      </c>
      <c r="L6" s="3" t="s">
        <v>223</v>
      </c>
    </row>
    <row x14ac:dyDescent="0.25" r="7" customHeight="1" ht="51.26953125" customFormat="1" s="1">
      <c r="A7" s="8" t="s">
        <v>22</v>
      </c>
      <c r="B7" s="8" t="s">
        <v>545</v>
      </c>
      <c r="C7" s="8" t="s">
        <v>546</v>
      </c>
      <c r="D7" s="8" t="s">
        <v>511</v>
      </c>
      <c r="E7" s="8" t="s">
        <v>223</v>
      </c>
      <c r="F7" s="8" t="s">
        <v>536</v>
      </c>
      <c r="G7" s="8" t="s">
        <v>537</v>
      </c>
      <c r="H7" s="8" t="s">
        <v>537</v>
      </c>
      <c r="I7" s="8" t="s">
        <v>537</v>
      </c>
      <c r="J7" s="8" t="s">
        <v>536</v>
      </c>
      <c r="K7" s="8"/>
      <c r="L7" s="8" t="s">
        <v>223</v>
      </c>
    </row>
    <row x14ac:dyDescent="0.25" r="8" customHeight="1" ht="51.26953125" customFormat="1" s="1">
      <c r="A8" s="8" t="s">
        <v>513</v>
      </c>
      <c r="B8" s="8" t="s">
        <v>547</v>
      </c>
      <c r="C8" s="8" t="s">
        <v>546</v>
      </c>
      <c r="D8" s="8" t="s">
        <v>548</v>
      </c>
      <c r="E8" s="8" t="s">
        <v>223</v>
      </c>
      <c r="F8" s="8" t="s">
        <v>536</v>
      </c>
      <c r="G8" s="8" t="s">
        <v>537</v>
      </c>
      <c r="H8" s="8" t="s">
        <v>537</v>
      </c>
      <c r="I8" s="8" t="s">
        <v>537</v>
      </c>
      <c r="J8" s="8" t="s">
        <v>536</v>
      </c>
      <c r="K8" s="8"/>
      <c r="L8" s="8" t="s">
        <v>223</v>
      </c>
    </row>
    <row x14ac:dyDescent="0.25" r="9" customHeight="1" ht="51.26953125" customFormat="1" s="1">
      <c r="A9" s="8" t="s">
        <v>517</v>
      </c>
      <c r="B9" s="8" t="s">
        <v>549</v>
      </c>
      <c r="C9" s="8" t="s">
        <v>546</v>
      </c>
      <c r="D9" s="8" t="s">
        <v>550</v>
      </c>
      <c r="E9" s="8" t="s">
        <v>223</v>
      </c>
      <c r="F9" s="8" t="s">
        <v>536</v>
      </c>
      <c r="G9" s="8" t="s">
        <v>537</v>
      </c>
      <c r="H9" s="8" t="s">
        <v>537</v>
      </c>
      <c r="I9" s="8" t="s">
        <v>537</v>
      </c>
      <c r="J9" s="8" t="s">
        <v>536</v>
      </c>
      <c r="K9" s="8"/>
      <c r="L9" s="8" t="s">
        <v>223</v>
      </c>
    </row>
    <row x14ac:dyDescent="0.25" r="10" customHeight="1" ht="51.26953125" customFormat="1" s="1">
      <c r="A10" s="8" t="s">
        <v>35</v>
      </c>
      <c r="B10" s="8" t="s">
        <v>551</v>
      </c>
      <c r="C10" s="8" t="s">
        <v>546</v>
      </c>
      <c r="D10" s="8" t="s">
        <v>552</v>
      </c>
      <c r="E10" s="8" t="s">
        <v>223</v>
      </c>
      <c r="F10" s="8" t="s">
        <v>536</v>
      </c>
      <c r="G10" s="8" t="s">
        <v>537</v>
      </c>
      <c r="H10" s="8" t="s">
        <v>537</v>
      </c>
      <c r="I10" s="8" t="s">
        <v>537</v>
      </c>
      <c r="J10" s="8" t="s">
        <v>536</v>
      </c>
      <c r="K10" s="8"/>
      <c r="L10" s="8" t="s">
        <v>223</v>
      </c>
    </row>
    <row x14ac:dyDescent="0.25" r="11" customHeight="1" ht="51.26953125" customFormat="1" s="1">
      <c r="A11" s="8" t="s">
        <v>41</v>
      </c>
      <c r="B11" s="8" t="s">
        <v>553</v>
      </c>
      <c r="C11" s="8" t="s">
        <v>546</v>
      </c>
      <c r="D11" s="8" t="s">
        <v>524</v>
      </c>
      <c r="E11" s="8" t="s">
        <v>223</v>
      </c>
      <c r="F11" s="8" t="s">
        <v>536</v>
      </c>
      <c r="G11" s="8" t="s">
        <v>537</v>
      </c>
      <c r="H11" s="8" t="s">
        <v>537</v>
      </c>
      <c r="I11" s="8" t="s">
        <v>537</v>
      </c>
      <c r="J11" s="8" t="s">
        <v>536</v>
      </c>
      <c r="K11" s="8"/>
      <c r="L11" s="8" t="s">
        <v>223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5"/>
  <sheetViews>
    <sheetView workbookViewId="0"/>
  </sheetViews>
  <sheetFormatPr defaultRowHeight="15" x14ac:dyDescent="0.25"/>
  <cols>
    <col min="1" max="1" style="5" width="8.005" customWidth="1" bestFit="1"/>
    <col min="2" max="2" style="5" width="18.005" customWidth="1" bestFit="1"/>
    <col min="3" max="3" style="5" width="18.005" customWidth="1" bestFit="1"/>
    <col min="4" max="4" style="5" width="26.005" customWidth="1" bestFit="1"/>
    <col min="5" max="5" style="5" width="18.005" customWidth="1" bestFit="1"/>
    <col min="6" max="6" style="5" width="18.005" customWidth="1" bestFit="1"/>
    <col min="7" max="7" style="5" width="26.005" customWidth="1" bestFit="1"/>
    <col min="8" max="8" style="5" width="32.005" customWidth="1" bestFit="1"/>
  </cols>
  <sheetData>
    <row x14ac:dyDescent="0.25" r="1" customHeight="1" ht="68.359375" customFormat="1" s="1">
      <c r="A1" s="2" t="s">
        <v>423</v>
      </c>
      <c r="B1" s="2" t="s">
        <v>424</v>
      </c>
      <c r="C1" s="2" t="s">
        <v>425</v>
      </c>
      <c r="D1" s="2" t="s">
        <v>426</v>
      </c>
      <c r="E1" s="2" t="s">
        <v>427</v>
      </c>
      <c r="F1" s="2" t="s">
        <v>428</v>
      </c>
      <c r="G1" s="2" t="s">
        <v>429</v>
      </c>
      <c r="H1" s="2" t="s">
        <v>430</v>
      </c>
    </row>
    <row x14ac:dyDescent="0.25" r="2" customHeight="1" ht="34.1796875" customFormat="1" s="1">
      <c r="A2" s="3" t="s">
        <v>431</v>
      </c>
      <c r="B2" s="3" t="s">
        <v>94</v>
      </c>
      <c r="C2" s="3" t="s">
        <v>432</v>
      </c>
      <c r="D2" s="3" t="s">
        <v>433</v>
      </c>
      <c r="E2" s="3" t="s">
        <v>434</v>
      </c>
      <c r="F2" s="3" t="s">
        <v>435</v>
      </c>
      <c r="G2" s="3" t="s">
        <v>436</v>
      </c>
      <c r="H2" s="3" t="s">
        <v>437</v>
      </c>
    </row>
    <row x14ac:dyDescent="0.25" r="3" customHeight="1" ht="34.1796875" customFormat="1" s="1">
      <c r="A3" s="4" t="s">
        <v>438</v>
      </c>
      <c r="B3" s="4" t="s">
        <v>94</v>
      </c>
      <c r="C3" s="4" t="s">
        <v>439</v>
      </c>
      <c r="D3" s="4" t="s">
        <v>440</v>
      </c>
      <c r="E3" s="4" t="s">
        <v>434</v>
      </c>
      <c r="F3" s="4" t="s">
        <v>435</v>
      </c>
      <c r="G3" s="4" t="s">
        <v>441</v>
      </c>
      <c r="H3" s="4"/>
    </row>
    <row x14ac:dyDescent="0.25" r="4" customHeight="1" ht="34.1796875" customFormat="1" s="1">
      <c r="A4" s="3" t="s">
        <v>442</v>
      </c>
      <c r="B4" s="3" t="s">
        <v>94</v>
      </c>
      <c r="C4" s="3" t="s">
        <v>443</v>
      </c>
      <c r="D4" s="3" t="s">
        <v>444</v>
      </c>
      <c r="E4" s="3" t="s">
        <v>434</v>
      </c>
      <c r="F4" s="3" t="s">
        <v>435</v>
      </c>
      <c r="G4" s="3" t="s">
        <v>445</v>
      </c>
      <c r="H4" s="3"/>
    </row>
    <row x14ac:dyDescent="0.25" r="5" customHeight="1" ht="34.1796875" customFormat="1" s="1">
      <c r="A5" s="4" t="s">
        <v>446</v>
      </c>
      <c r="B5" s="4" t="s">
        <v>94</v>
      </c>
      <c r="C5" s="4" t="s">
        <v>447</v>
      </c>
      <c r="D5" s="4" t="s">
        <v>448</v>
      </c>
      <c r="E5" s="4" t="s">
        <v>434</v>
      </c>
      <c r="F5" s="4" t="s">
        <v>435</v>
      </c>
      <c r="G5" s="4" t="s">
        <v>449</v>
      </c>
      <c r="H5" s="4"/>
    </row>
    <row x14ac:dyDescent="0.25" r="6" customHeight="1" ht="34.1796875" customFormat="1" s="1">
      <c r="A6" s="3" t="s">
        <v>450</v>
      </c>
      <c r="B6" s="3" t="s">
        <v>94</v>
      </c>
      <c r="C6" s="3" t="s">
        <v>451</v>
      </c>
      <c r="D6" s="3" t="s">
        <v>452</v>
      </c>
      <c r="E6" s="3" t="s">
        <v>434</v>
      </c>
      <c r="F6" s="3" t="s">
        <v>435</v>
      </c>
      <c r="G6" s="3" t="s">
        <v>453</v>
      </c>
      <c r="H6" s="3"/>
    </row>
    <row x14ac:dyDescent="0.25" r="7" customHeight="1" ht="34.1796875" customFormat="1" s="1">
      <c r="A7" s="4" t="s">
        <v>454</v>
      </c>
      <c r="B7" s="4" t="s">
        <v>94</v>
      </c>
      <c r="C7" s="4" t="s">
        <v>455</v>
      </c>
      <c r="D7" s="4" t="s">
        <v>456</v>
      </c>
      <c r="E7" s="4" t="s">
        <v>434</v>
      </c>
      <c r="F7" s="4" t="s">
        <v>435</v>
      </c>
      <c r="G7" s="4" t="s">
        <v>457</v>
      </c>
      <c r="H7" s="4"/>
    </row>
    <row x14ac:dyDescent="0.25" r="8" customHeight="1" ht="34.1796875" customFormat="1" s="1">
      <c r="A8" s="3" t="s">
        <v>458</v>
      </c>
      <c r="B8" s="3" t="s">
        <v>94</v>
      </c>
      <c r="C8" s="3" t="s">
        <v>459</v>
      </c>
      <c r="D8" s="3" t="s">
        <v>460</v>
      </c>
      <c r="E8" s="3" t="s">
        <v>434</v>
      </c>
      <c r="F8" s="3" t="s">
        <v>435</v>
      </c>
      <c r="G8" s="3" t="s">
        <v>461</v>
      </c>
      <c r="H8" s="3"/>
    </row>
    <row x14ac:dyDescent="0.25" r="9" customHeight="1" ht="34.1796875" customFormat="1" s="1">
      <c r="A9" s="4" t="s">
        <v>462</v>
      </c>
      <c r="B9" s="4" t="s">
        <v>94</v>
      </c>
      <c r="C9" s="4" t="s">
        <v>463</v>
      </c>
      <c r="D9" s="4" t="s">
        <v>464</v>
      </c>
      <c r="E9" s="4" t="s">
        <v>434</v>
      </c>
      <c r="F9" s="4" t="s">
        <v>435</v>
      </c>
      <c r="G9" s="4" t="s">
        <v>465</v>
      </c>
      <c r="H9" s="4"/>
    </row>
    <row x14ac:dyDescent="0.25" r="10" customHeight="1" ht="34.1796875" customFormat="1" s="1">
      <c r="A10" s="3" t="s">
        <v>466</v>
      </c>
      <c r="B10" s="3" t="s">
        <v>94</v>
      </c>
      <c r="C10" s="3" t="s">
        <v>467</v>
      </c>
      <c r="D10" s="3" t="s">
        <v>468</v>
      </c>
      <c r="E10" s="3" t="s">
        <v>434</v>
      </c>
      <c r="F10" s="3" t="s">
        <v>435</v>
      </c>
      <c r="G10" s="3" t="s">
        <v>469</v>
      </c>
      <c r="H10" s="3"/>
    </row>
    <row x14ac:dyDescent="0.25" r="11" customHeight="1" ht="34.1796875" customFormat="1" s="1">
      <c r="A11" s="4" t="s">
        <v>470</v>
      </c>
      <c r="B11" s="4" t="s">
        <v>94</v>
      </c>
      <c r="C11" s="4" t="s">
        <v>471</v>
      </c>
      <c r="D11" s="4" t="s">
        <v>472</v>
      </c>
      <c r="E11" s="4" t="s">
        <v>434</v>
      </c>
      <c r="F11" s="4" t="s">
        <v>435</v>
      </c>
      <c r="G11" s="4" t="s">
        <v>473</v>
      </c>
      <c r="H11" s="4"/>
    </row>
    <row x14ac:dyDescent="0.25" r="12" customHeight="1" ht="34.1796875" customFormat="1" s="1">
      <c r="A12" s="3" t="s">
        <v>474</v>
      </c>
      <c r="B12" s="3" t="s">
        <v>94</v>
      </c>
      <c r="C12" s="3" t="s">
        <v>475</v>
      </c>
      <c r="D12" s="3" t="s">
        <v>476</v>
      </c>
      <c r="E12" s="3" t="s">
        <v>434</v>
      </c>
      <c r="F12" s="3" t="s">
        <v>435</v>
      </c>
      <c r="G12" s="3" t="s">
        <v>477</v>
      </c>
      <c r="H12" s="3"/>
    </row>
    <row x14ac:dyDescent="0.25" r="13" customHeight="1" ht="34.1796875" customFormat="1" s="1">
      <c r="A13" s="4" t="s">
        <v>478</v>
      </c>
      <c r="B13" s="4" t="s">
        <v>83</v>
      </c>
      <c r="C13" s="4" t="s">
        <v>479</v>
      </c>
      <c r="D13" s="4" t="s">
        <v>480</v>
      </c>
      <c r="E13" s="4" t="s">
        <v>434</v>
      </c>
      <c r="F13" s="4" t="s">
        <v>481</v>
      </c>
      <c r="G13" s="4" t="s">
        <v>482</v>
      </c>
      <c r="H13" s="4"/>
    </row>
    <row x14ac:dyDescent="0.25" r="14" customHeight="1" ht="34.1796875" customFormat="1" s="1">
      <c r="A14" s="3" t="s">
        <v>483</v>
      </c>
      <c r="B14" s="3" t="s">
        <v>83</v>
      </c>
      <c r="C14" s="3" t="s">
        <v>479</v>
      </c>
      <c r="D14" s="3" t="s">
        <v>484</v>
      </c>
      <c r="E14" s="3" t="s">
        <v>434</v>
      </c>
      <c r="F14" s="3" t="s">
        <v>481</v>
      </c>
      <c r="G14" s="3" t="s">
        <v>485</v>
      </c>
      <c r="H14" s="3"/>
    </row>
    <row x14ac:dyDescent="0.25" r="15" customHeight="1" ht="34.1796875" customFormat="1" s="1">
      <c r="A15" s="4" t="s">
        <v>486</v>
      </c>
      <c r="B15" s="4" t="s">
        <v>83</v>
      </c>
      <c r="C15" s="4" t="s">
        <v>479</v>
      </c>
      <c r="D15" s="4" t="s">
        <v>487</v>
      </c>
      <c r="E15" s="4" t="s">
        <v>434</v>
      </c>
      <c r="F15" s="4" t="s">
        <v>481</v>
      </c>
      <c r="G15" s="4" t="s">
        <v>488</v>
      </c>
      <c r="H15" s="4" t="s">
        <v>489</v>
      </c>
    </row>
    <row x14ac:dyDescent="0.25" r="16" customHeight="1" ht="34.1796875" customFormat="1" s="1">
      <c r="A16" s="3" t="s">
        <v>490</v>
      </c>
      <c r="B16" s="3" t="s">
        <v>13</v>
      </c>
      <c r="C16" s="3" t="s">
        <v>491</v>
      </c>
      <c r="D16" s="3" t="s">
        <v>492</v>
      </c>
      <c r="E16" s="3" t="s">
        <v>434</v>
      </c>
      <c r="F16" s="3" t="s">
        <v>493</v>
      </c>
      <c r="G16" s="3" t="s">
        <v>494</v>
      </c>
      <c r="H16" s="3"/>
    </row>
    <row x14ac:dyDescent="0.25" r="17" customHeight="1" ht="34.1796875" customFormat="1" s="1">
      <c r="A17" s="4" t="s">
        <v>9</v>
      </c>
      <c r="B17" s="4" t="s">
        <v>83</v>
      </c>
      <c r="C17" s="4" t="s">
        <v>495</v>
      </c>
      <c r="D17" s="4" t="s">
        <v>496</v>
      </c>
      <c r="E17" s="4" t="s">
        <v>497</v>
      </c>
      <c r="F17" s="4" t="s">
        <v>481</v>
      </c>
      <c r="G17" s="4" t="s">
        <v>498</v>
      </c>
      <c r="H17" s="4"/>
    </row>
    <row x14ac:dyDescent="0.25" r="18" customHeight="1" ht="34.1796875" customFormat="1" s="1">
      <c r="A18" s="3" t="s">
        <v>499</v>
      </c>
      <c r="B18" s="3" t="s">
        <v>83</v>
      </c>
      <c r="C18" s="3" t="s">
        <v>500</v>
      </c>
      <c r="D18" s="3" t="s">
        <v>501</v>
      </c>
      <c r="E18" s="3" t="s">
        <v>497</v>
      </c>
      <c r="F18" s="3" t="s">
        <v>481</v>
      </c>
      <c r="G18" s="3" t="s">
        <v>502</v>
      </c>
      <c r="H18" s="3"/>
    </row>
    <row x14ac:dyDescent="0.25" r="19" customHeight="1" ht="34.1796875" customFormat="1" s="1">
      <c r="A19" s="4" t="s">
        <v>503</v>
      </c>
      <c r="B19" s="4" t="s">
        <v>347</v>
      </c>
      <c r="C19" s="4" t="s">
        <v>504</v>
      </c>
      <c r="D19" s="4" t="s">
        <v>505</v>
      </c>
      <c r="E19" s="4" t="s">
        <v>434</v>
      </c>
      <c r="F19" s="4" t="s">
        <v>493</v>
      </c>
      <c r="G19" s="4" t="s">
        <v>506</v>
      </c>
      <c r="H19" s="4"/>
    </row>
    <row x14ac:dyDescent="0.25" r="20" customHeight="1" ht="34.1796875" customFormat="1" s="1">
      <c r="A20" s="3" t="s">
        <v>507</v>
      </c>
      <c r="B20" s="3" t="s">
        <v>347</v>
      </c>
      <c r="C20" s="3" t="s">
        <v>504</v>
      </c>
      <c r="D20" s="3" t="s">
        <v>508</v>
      </c>
      <c r="E20" s="3" t="s">
        <v>434</v>
      </c>
      <c r="F20" s="3" t="s">
        <v>493</v>
      </c>
      <c r="G20" s="3" t="s">
        <v>509</v>
      </c>
      <c r="H20" s="3"/>
    </row>
    <row x14ac:dyDescent="0.25" r="21" customHeight="1" ht="68.359375" customFormat="1" s="1">
      <c r="A21" s="8" t="s">
        <v>22</v>
      </c>
      <c r="B21" s="8" t="s">
        <v>83</v>
      </c>
      <c r="C21" s="8" t="s">
        <v>479</v>
      </c>
      <c r="D21" s="8" t="s">
        <v>510</v>
      </c>
      <c r="E21" s="8" t="s">
        <v>434</v>
      </c>
      <c r="F21" s="8" t="s">
        <v>481</v>
      </c>
      <c r="G21" s="8" t="s">
        <v>511</v>
      </c>
      <c r="H21" s="8" t="s">
        <v>512</v>
      </c>
    </row>
    <row x14ac:dyDescent="0.25" r="22" customHeight="1" ht="51.26953125" customFormat="1" s="1">
      <c r="A22" s="8" t="s">
        <v>513</v>
      </c>
      <c r="B22" s="8" t="s">
        <v>83</v>
      </c>
      <c r="C22" s="8" t="s">
        <v>479</v>
      </c>
      <c r="D22" s="8" t="s">
        <v>514</v>
      </c>
      <c r="E22" s="8" t="s">
        <v>434</v>
      </c>
      <c r="F22" s="8" t="s">
        <v>481</v>
      </c>
      <c r="G22" s="8" t="s">
        <v>515</v>
      </c>
      <c r="H22" s="8" t="s">
        <v>516</v>
      </c>
    </row>
    <row x14ac:dyDescent="0.25" r="23" customHeight="1" ht="51.26953125" customFormat="1" s="1">
      <c r="A23" s="8" t="s">
        <v>517</v>
      </c>
      <c r="B23" s="8" t="s">
        <v>83</v>
      </c>
      <c r="C23" s="8" t="s">
        <v>479</v>
      </c>
      <c r="D23" s="8" t="s">
        <v>518</v>
      </c>
      <c r="E23" s="8" t="s">
        <v>434</v>
      </c>
      <c r="F23" s="8" t="s">
        <v>481</v>
      </c>
      <c r="G23" s="8" t="s">
        <v>519</v>
      </c>
      <c r="H23" s="8" t="s">
        <v>516</v>
      </c>
    </row>
    <row x14ac:dyDescent="0.25" r="24" customHeight="1" ht="51.26953125" customFormat="1" s="1">
      <c r="A24" s="8" t="s">
        <v>35</v>
      </c>
      <c r="B24" s="8" t="s">
        <v>83</v>
      </c>
      <c r="C24" s="8" t="s">
        <v>479</v>
      </c>
      <c r="D24" s="8" t="s">
        <v>520</v>
      </c>
      <c r="E24" s="8" t="s">
        <v>434</v>
      </c>
      <c r="F24" s="8" t="s">
        <v>481</v>
      </c>
      <c r="G24" s="8" t="s">
        <v>494</v>
      </c>
      <c r="H24" s="8" t="s">
        <v>521</v>
      </c>
    </row>
    <row x14ac:dyDescent="0.25" r="25" customHeight="1" ht="51.26953125" customFormat="1" s="1">
      <c r="A25" s="8" t="s">
        <v>41</v>
      </c>
      <c r="B25" s="8" t="s">
        <v>347</v>
      </c>
      <c r="C25" s="8" t="s">
        <v>522</v>
      </c>
      <c r="D25" s="8" t="s">
        <v>523</v>
      </c>
      <c r="E25" s="8" t="s">
        <v>434</v>
      </c>
      <c r="F25" s="8" t="s">
        <v>481</v>
      </c>
      <c r="G25" s="8" t="s">
        <v>524</v>
      </c>
      <c r="H25" s="8" t="s">
        <v>525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F15"/>
  <sheetViews>
    <sheetView workbookViewId="0"/>
  </sheetViews>
  <sheetFormatPr defaultRowHeight="15" x14ac:dyDescent="0.25"/>
  <cols>
    <col min="1" max="1" style="14" width="22.005" customWidth="1" bestFit="1"/>
    <col min="2" max="2" style="14" width="22.005" customWidth="1" bestFit="1"/>
    <col min="3" max="3" style="14" width="22.005" customWidth="1" bestFit="1"/>
    <col min="4" max="4" style="14" width="22.005" customWidth="1" bestFit="1"/>
    <col min="5" max="5" style="14" width="22.005" customWidth="1" bestFit="1"/>
    <col min="6" max="6" style="14" width="22.005" customWidth="1" bestFit="1"/>
    <col min="7" max="7" style="14" width="22.005" customWidth="1" bestFit="1"/>
    <col min="8" max="8" style="14" width="22.005" customWidth="1" bestFit="1"/>
    <col min="9" max="9" style="14" width="22.005" customWidth="1" bestFit="1"/>
    <col min="10" max="10" style="14" width="22.005" customWidth="1" bestFit="1"/>
    <col min="11" max="11" style="14" width="22.005" customWidth="1" bestFit="1"/>
    <col min="12" max="12" style="14" width="22.005" customWidth="1" bestFit="1"/>
    <col min="13" max="13" style="14" width="22.005" customWidth="1" bestFit="1"/>
    <col min="14" max="14" style="14" width="22.005" customWidth="1" bestFit="1"/>
    <col min="15" max="15" style="14" width="22.005" customWidth="1" bestFit="1"/>
    <col min="16" max="16" style="14" width="22.005" customWidth="1" bestFit="1"/>
    <col min="17" max="17" style="14" width="22.005" customWidth="1" bestFit="1"/>
    <col min="18" max="18" style="14" width="22.005" customWidth="1" bestFit="1"/>
    <col min="19" max="19" style="14" width="22.005" customWidth="1" bestFit="1"/>
    <col min="20" max="20" style="14" width="22.005" customWidth="1" bestFit="1"/>
    <col min="21" max="21" style="14" width="22.005" customWidth="1" bestFit="1"/>
    <col min="22" max="22" style="14" width="22.005" customWidth="1" bestFit="1"/>
    <col min="23" max="23" style="14" width="22.005" customWidth="1" bestFit="1"/>
    <col min="24" max="24" style="14" width="22.005" customWidth="1" bestFit="1"/>
    <col min="25" max="25" style="14" width="22.005" customWidth="1" bestFit="1"/>
    <col min="26" max="26" style="14" width="22.005" customWidth="1" bestFit="1"/>
    <col min="27" max="27" style="14" width="22.005" customWidth="1" bestFit="1"/>
    <col min="28" max="28" style="14" width="22.005" customWidth="1" bestFit="1"/>
    <col min="29" max="29" style="14" width="22.005" customWidth="1" bestFit="1"/>
    <col min="30" max="30" style="14" width="22.005" customWidth="1" bestFit="1"/>
    <col min="31" max="31" style="14" width="22.005" customWidth="1" bestFit="1"/>
    <col min="32" max="32" style="14" width="22.005" customWidth="1" bestFit="1"/>
    <col min="33" max="33" style="14" width="22.005" customWidth="1" bestFit="1"/>
    <col min="34" max="34" style="14" width="22.005" customWidth="1" bestFit="1"/>
    <col min="35" max="35" style="14" width="22.005" customWidth="1" bestFit="1"/>
    <col min="36" max="36" style="14" width="22.005" customWidth="1" bestFit="1"/>
    <col min="37" max="37" style="14" width="22.005" customWidth="1" bestFit="1"/>
    <col min="38" max="38" style="14" width="22.005" customWidth="1" bestFit="1"/>
    <col min="39" max="39" style="14" width="22.005" customWidth="1" bestFit="1"/>
    <col min="40" max="40" style="14" width="22.005" customWidth="1" bestFit="1"/>
    <col min="41" max="41" style="14" width="22.005" customWidth="1" bestFit="1"/>
    <col min="42" max="42" style="14" width="22.005" customWidth="1" bestFit="1"/>
    <col min="43" max="43" style="14" width="22.005" customWidth="1" bestFit="1"/>
    <col min="44" max="44" style="14" width="22.005" customWidth="1" bestFit="1"/>
    <col min="45" max="45" style="14" width="22.005" customWidth="1" bestFit="1"/>
    <col min="46" max="46" style="14" width="22.005" customWidth="1" bestFit="1"/>
    <col min="47" max="47" style="14" width="22.005" customWidth="1" bestFit="1"/>
    <col min="48" max="48" style="14" width="22.005" customWidth="1" bestFit="1"/>
    <col min="49" max="49" style="14" width="22.005" customWidth="1" bestFit="1"/>
    <col min="50" max="50" style="14" width="22.005" customWidth="1" bestFit="1"/>
    <col min="51" max="51" style="14" width="22.005" customWidth="1" bestFit="1"/>
    <col min="52" max="52" style="14" width="22.005" customWidth="1" bestFit="1"/>
    <col min="53" max="53" style="14" width="22.005" customWidth="1" bestFit="1"/>
    <col min="54" max="54" style="14" width="22.005" customWidth="1" bestFit="1"/>
    <col min="55" max="55" style="14" width="22.005" customWidth="1" bestFit="1"/>
    <col min="56" max="56" style="14" width="22.005" customWidth="1" bestFit="1"/>
    <col min="57" max="57" style="21" width="24.005" customWidth="1" bestFit="1"/>
    <col min="58" max="58" style="21" width="84.005" customWidth="1" bestFit="1"/>
  </cols>
  <sheetData>
    <row x14ac:dyDescent="0.25" r="1" customHeight="1" ht="18.75">
      <c r="A1" s="15" t="s">
        <v>164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5" t="s">
        <v>165</v>
      </c>
      <c r="BF1" s="17"/>
    </row>
    <row x14ac:dyDescent="0.25" r="2" customHeight="1" ht="18.75">
      <c r="A2" s="18" t="s">
        <v>166</v>
      </c>
      <c r="B2" s="18" t="s">
        <v>167</v>
      </c>
      <c r="C2" s="18" t="s">
        <v>168</v>
      </c>
      <c r="D2" s="18" t="s">
        <v>169</v>
      </c>
      <c r="E2" s="18" t="s">
        <v>6</v>
      </c>
      <c r="F2" s="18" t="s">
        <v>170</v>
      </c>
      <c r="G2" s="18" t="s">
        <v>171</v>
      </c>
      <c r="H2" s="18" t="s">
        <v>172</v>
      </c>
      <c r="I2" s="18" t="s">
        <v>173</v>
      </c>
      <c r="J2" s="18" t="s">
        <v>174</v>
      </c>
      <c r="K2" s="18" t="s">
        <v>175</v>
      </c>
      <c r="L2" s="18" t="s">
        <v>176</v>
      </c>
      <c r="M2" s="18" t="s">
        <v>73</v>
      </c>
      <c r="N2" s="18" t="s">
        <v>75</v>
      </c>
      <c r="O2" s="18" t="s">
        <v>76</v>
      </c>
      <c r="P2" s="18" t="s">
        <v>54</v>
      </c>
      <c r="Q2" s="18" t="s">
        <v>177</v>
      </c>
      <c r="R2" s="18" t="s">
        <v>178</v>
      </c>
      <c r="S2" s="18" t="s">
        <v>179</v>
      </c>
      <c r="T2" s="18" t="s">
        <v>180</v>
      </c>
      <c r="U2" s="18" t="s">
        <v>181</v>
      </c>
      <c r="V2" s="18" t="s">
        <v>182</v>
      </c>
      <c r="W2" s="18" t="s">
        <v>183</v>
      </c>
      <c r="X2" s="18" t="s">
        <v>184</v>
      </c>
      <c r="Y2" s="18" t="s">
        <v>185</v>
      </c>
      <c r="Z2" s="18" t="s">
        <v>186</v>
      </c>
      <c r="AA2" s="18" t="s">
        <v>187</v>
      </c>
      <c r="AB2" s="18" t="s">
        <v>188</v>
      </c>
      <c r="AC2" s="18" t="s">
        <v>189</v>
      </c>
      <c r="AD2" s="18" t="s">
        <v>190</v>
      </c>
      <c r="AE2" s="18" t="s">
        <v>191</v>
      </c>
      <c r="AF2" s="18" t="s">
        <v>192</v>
      </c>
      <c r="AG2" s="18" t="s">
        <v>193</v>
      </c>
      <c r="AH2" s="18" t="s">
        <v>194</v>
      </c>
      <c r="AI2" s="18" t="s">
        <v>195</v>
      </c>
      <c r="AJ2" s="18" t="s">
        <v>196</v>
      </c>
      <c r="AK2" s="18" t="s">
        <v>197</v>
      </c>
      <c r="AL2" s="18" t="s">
        <v>198</v>
      </c>
      <c r="AM2" s="18" t="s">
        <v>199</v>
      </c>
      <c r="AN2" s="18" t="s">
        <v>200</v>
      </c>
      <c r="AO2" s="18" t="s">
        <v>201</v>
      </c>
      <c r="AP2" s="18" t="s">
        <v>202</v>
      </c>
      <c r="AQ2" s="18" t="s">
        <v>203</v>
      </c>
      <c r="AR2" s="18" t="s">
        <v>204</v>
      </c>
      <c r="AS2" s="18" t="s">
        <v>205</v>
      </c>
      <c r="AT2" s="18" t="s">
        <v>206</v>
      </c>
      <c r="AU2" s="18" t="s">
        <v>207</v>
      </c>
      <c r="AV2" s="18" t="s">
        <v>208</v>
      </c>
      <c r="AW2" s="18" t="s">
        <v>209</v>
      </c>
      <c r="AX2" s="18" t="s">
        <v>210</v>
      </c>
      <c r="AY2" s="18" t="s">
        <v>211</v>
      </c>
      <c r="AZ2" s="18" t="s">
        <v>212</v>
      </c>
      <c r="BA2" s="18" t="s">
        <v>213</v>
      </c>
      <c r="BB2" s="18" t="s">
        <v>214</v>
      </c>
      <c r="BC2" s="18" t="s">
        <v>215</v>
      </c>
      <c r="BD2" s="18" t="s">
        <v>216</v>
      </c>
      <c r="BE2" s="18" t="s">
        <v>217</v>
      </c>
      <c r="BF2" s="18" t="s">
        <v>218</v>
      </c>
    </row>
    <row x14ac:dyDescent="0.25" r="3" customHeight="1" ht="18.75">
      <c r="A3" s="19" t="s">
        <v>219</v>
      </c>
      <c r="B3" s="19" t="s">
        <v>220</v>
      </c>
      <c r="C3" s="19" t="s">
        <v>221</v>
      </c>
      <c r="D3" s="19" t="s">
        <v>222</v>
      </c>
      <c r="E3" s="19" t="s">
        <v>223</v>
      </c>
      <c r="F3" s="19" t="s">
        <v>224</v>
      </c>
      <c r="G3" s="19" t="s">
        <v>60</v>
      </c>
      <c r="H3" s="19" t="s">
        <v>60</v>
      </c>
      <c r="I3" s="19" t="s">
        <v>14</v>
      </c>
      <c r="J3" s="19" t="s">
        <v>225</v>
      </c>
      <c r="K3" s="19" t="s">
        <v>60</v>
      </c>
      <c r="L3" s="19" t="s">
        <v>60</v>
      </c>
      <c r="M3" s="19" t="s">
        <v>91</v>
      </c>
      <c r="N3" s="19" t="s">
        <v>82</v>
      </c>
      <c r="O3" s="19" t="s">
        <v>94</v>
      </c>
      <c r="P3" s="19" t="s">
        <v>59</v>
      </c>
      <c r="Q3" s="19" t="s">
        <v>14</v>
      </c>
      <c r="R3" s="19" t="s">
        <v>226</v>
      </c>
      <c r="S3" s="19" t="s">
        <v>60</v>
      </c>
      <c r="T3" s="19" t="s">
        <v>60</v>
      </c>
      <c r="U3" s="19" t="s">
        <v>60</v>
      </c>
      <c r="V3" s="19" t="s">
        <v>227</v>
      </c>
      <c r="W3" s="19" t="s">
        <v>228</v>
      </c>
      <c r="X3" s="19" t="s">
        <v>229</v>
      </c>
      <c r="Y3" s="19" t="s">
        <v>230</v>
      </c>
      <c r="Z3" s="19" t="s">
        <v>231</v>
      </c>
      <c r="AA3" s="19" t="s">
        <v>232</v>
      </c>
      <c r="AB3" s="19" t="s">
        <v>233</v>
      </c>
      <c r="AC3" s="19" t="s">
        <v>234</v>
      </c>
      <c r="AD3" s="19" t="s">
        <v>235</v>
      </c>
      <c r="AE3" s="19" t="s">
        <v>235</v>
      </c>
      <c r="AF3" s="19" t="s">
        <v>236</v>
      </c>
      <c r="AG3" s="19" t="s">
        <v>232</v>
      </c>
      <c r="AH3" s="19" t="s">
        <v>237</v>
      </c>
      <c r="AI3" s="19" t="s">
        <v>238</v>
      </c>
      <c r="AJ3" s="19" t="s">
        <v>239</v>
      </c>
      <c r="AK3" s="19" t="s">
        <v>240</v>
      </c>
      <c r="AL3" s="19" t="s">
        <v>241</v>
      </c>
      <c r="AM3" s="19" t="s">
        <v>242</v>
      </c>
      <c r="AN3" s="19" t="s">
        <v>243</v>
      </c>
      <c r="AO3" s="19" t="s">
        <v>244</v>
      </c>
      <c r="AP3" s="19" t="s">
        <v>245</v>
      </c>
      <c r="AQ3" s="19" t="s">
        <v>246</v>
      </c>
      <c r="AR3" s="19" t="s">
        <v>247</v>
      </c>
      <c r="AS3" s="19" t="s">
        <v>247</v>
      </c>
      <c r="AT3" s="19" t="s">
        <v>247</v>
      </c>
      <c r="AU3" s="19" t="s">
        <v>247</v>
      </c>
      <c r="AV3" s="19" t="s">
        <v>248</v>
      </c>
      <c r="AW3" s="19" t="s">
        <v>247</v>
      </c>
      <c r="AX3" s="19" t="s">
        <v>249</v>
      </c>
      <c r="AY3" s="19" t="s">
        <v>250</v>
      </c>
      <c r="AZ3" s="19" t="s">
        <v>247</v>
      </c>
      <c r="BA3" s="19" t="s">
        <v>247</v>
      </c>
      <c r="BB3" s="19" t="s">
        <v>247</v>
      </c>
      <c r="BC3" s="19" t="s">
        <v>251</v>
      </c>
      <c r="BD3" s="19" t="s">
        <v>252</v>
      </c>
      <c r="BE3" s="19" t="s">
        <v>253</v>
      </c>
      <c r="BF3" s="4" t="s">
        <v>254</v>
      </c>
    </row>
    <row x14ac:dyDescent="0.25" r="4" customHeight="1" ht="18.75">
      <c r="A4" s="20" t="s">
        <v>255</v>
      </c>
      <c r="B4" s="20" t="s">
        <v>256</v>
      </c>
      <c r="C4" s="20" t="s">
        <v>257</v>
      </c>
      <c r="D4" s="20" t="s">
        <v>258</v>
      </c>
      <c r="E4" s="20" t="s">
        <v>259</v>
      </c>
      <c r="F4" s="20" t="s">
        <v>260</v>
      </c>
      <c r="G4" s="20" t="s">
        <v>69</v>
      </c>
      <c r="H4" s="20" t="s">
        <v>69</v>
      </c>
      <c r="I4" s="20" t="s">
        <v>261</v>
      </c>
      <c r="J4" s="20" t="s">
        <v>262</v>
      </c>
      <c r="K4" s="20" t="s">
        <v>69</v>
      </c>
      <c r="L4" s="20" t="s">
        <v>69</v>
      </c>
      <c r="M4" s="20" t="s">
        <v>80</v>
      </c>
      <c r="N4" s="20" t="s">
        <v>93</v>
      </c>
      <c r="O4" s="20" t="s">
        <v>83</v>
      </c>
      <c r="P4" s="20" t="s">
        <v>68</v>
      </c>
      <c r="Q4" s="20" t="s">
        <v>263</v>
      </c>
      <c r="R4" s="20" t="s">
        <v>264</v>
      </c>
      <c r="S4" s="20" t="s">
        <v>69</v>
      </c>
      <c r="T4" s="20" t="s">
        <v>69</v>
      </c>
      <c r="U4" s="20" t="s">
        <v>69</v>
      </c>
      <c r="V4" s="20" t="s">
        <v>265</v>
      </c>
      <c r="W4" s="20" t="s">
        <v>266</v>
      </c>
      <c r="X4" s="20" t="s">
        <v>267</v>
      </c>
      <c r="Y4" s="20" t="s">
        <v>268</v>
      </c>
      <c r="Z4" s="20" t="s">
        <v>269</v>
      </c>
      <c r="AA4" s="20" t="s">
        <v>270</v>
      </c>
      <c r="AB4" s="20" t="s">
        <v>271</v>
      </c>
      <c r="AC4" s="20" t="s">
        <v>272</v>
      </c>
      <c r="AD4" s="20" t="s">
        <v>273</v>
      </c>
      <c r="AE4" s="20" t="s">
        <v>274</v>
      </c>
      <c r="AF4" s="20" t="s">
        <v>275</v>
      </c>
      <c r="AG4" s="20" t="s">
        <v>276</v>
      </c>
      <c r="AH4" s="20" t="s">
        <v>277</v>
      </c>
      <c r="AI4" s="20" t="s">
        <v>278</v>
      </c>
      <c r="AJ4" s="20" t="s">
        <v>279</v>
      </c>
      <c r="AK4" s="20" t="s">
        <v>280</v>
      </c>
      <c r="AL4" s="20" t="s">
        <v>281</v>
      </c>
      <c r="AM4" s="20" t="s">
        <v>282</v>
      </c>
      <c r="AN4" s="20" t="s">
        <v>283</v>
      </c>
      <c r="AO4" s="20" t="s">
        <v>284</v>
      </c>
      <c r="AP4" s="20" t="s">
        <v>253</v>
      </c>
      <c r="AQ4" s="20" t="s">
        <v>285</v>
      </c>
      <c r="AR4" s="20" t="s">
        <v>286</v>
      </c>
      <c r="AS4" s="20" t="s">
        <v>286</v>
      </c>
      <c r="AT4" s="20" t="s">
        <v>287</v>
      </c>
      <c r="AU4" s="20" t="s">
        <v>288</v>
      </c>
      <c r="AV4" s="20" t="s">
        <v>289</v>
      </c>
      <c r="AW4" s="20" t="s">
        <v>236</v>
      </c>
      <c r="AX4" s="20" t="s">
        <v>290</v>
      </c>
      <c r="AY4" s="20" t="s">
        <v>291</v>
      </c>
      <c r="AZ4" s="20" t="s">
        <v>292</v>
      </c>
      <c r="BA4" s="20" t="s">
        <v>293</v>
      </c>
      <c r="BB4" s="20" t="s">
        <v>294</v>
      </c>
      <c r="BC4" s="20" t="s">
        <v>295</v>
      </c>
      <c r="BD4" s="20" t="s">
        <v>296</v>
      </c>
      <c r="BE4" s="20" t="s">
        <v>297</v>
      </c>
      <c r="BF4" s="3" t="s">
        <v>298</v>
      </c>
    </row>
    <row x14ac:dyDescent="0.25" r="5" customHeight="1" ht="18.75">
      <c r="A5" s="19" t="s">
        <v>299</v>
      </c>
      <c r="B5" s="19" t="s">
        <v>300</v>
      </c>
      <c r="C5" s="19" t="s">
        <v>301</v>
      </c>
      <c r="D5" s="19" t="s">
        <v>302</v>
      </c>
      <c r="E5" s="19" t="s">
        <v>303</v>
      </c>
      <c r="F5" s="19" t="s">
        <v>304</v>
      </c>
      <c r="G5" s="16"/>
      <c r="H5" s="16"/>
      <c r="I5" s="16"/>
      <c r="J5" s="19" t="s">
        <v>305</v>
      </c>
      <c r="K5" s="16"/>
      <c r="L5" s="16"/>
      <c r="M5" s="19" t="s">
        <v>98</v>
      </c>
      <c r="N5" s="19" t="s">
        <v>306</v>
      </c>
      <c r="O5" s="19" t="s">
        <v>13</v>
      </c>
      <c r="P5" s="19" t="s">
        <v>307</v>
      </c>
      <c r="Q5" s="19" t="s">
        <v>308</v>
      </c>
      <c r="R5" s="19" t="s">
        <v>10</v>
      </c>
      <c r="S5" s="16"/>
      <c r="T5" s="16"/>
      <c r="U5" s="16"/>
      <c r="V5" s="19" t="s">
        <v>309</v>
      </c>
      <c r="W5" s="19" t="s">
        <v>310</v>
      </c>
      <c r="X5" s="19" t="s">
        <v>311</v>
      </c>
      <c r="Y5" s="19" t="s">
        <v>312</v>
      </c>
      <c r="Z5" s="19" t="s">
        <v>313</v>
      </c>
      <c r="AA5" s="19" t="s">
        <v>314</v>
      </c>
      <c r="AB5" s="19" t="s">
        <v>315</v>
      </c>
      <c r="AC5" s="19" t="s">
        <v>295</v>
      </c>
      <c r="AD5" s="19" t="s">
        <v>316</v>
      </c>
      <c r="AE5" s="19" t="s">
        <v>317</v>
      </c>
      <c r="AF5" s="19" t="s">
        <v>318</v>
      </c>
      <c r="AG5" s="19" t="s">
        <v>319</v>
      </c>
      <c r="AH5" s="19" t="s">
        <v>320</v>
      </c>
      <c r="AI5" s="19" t="s">
        <v>321</v>
      </c>
      <c r="AJ5" s="19" t="s">
        <v>322</v>
      </c>
      <c r="AK5" s="19" t="s">
        <v>323</v>
      </c>
      <c r="AL5" s="19" t="s">
        <v>324</v>
      </c>
      <c r="AM5" s="16"/>
      <c r="AN5" s="19" t="s">
        <v>325</v>
      </c>
      <c r="AO5" s="19" t="s">
        <v>326</v>
      </c>
      <c r="AP5" s="16"/>
      <c r="AQ5" s="19" t="s">
        <v>327</v>
      </c>
      <c r="AR5" s="19" t="s">
        <v>328</v>
      </c>
      <c r="AS5" s="19" t="s">
        <v>329</v>
      </c>
      <c r="AT5" s="19" t="s">
        <v>330</v>
      </c>
      <c r="AU5" s="19" t="s">
        <v>331</v>
      </c>
      <c r="AV5" s="19" t="s">
        <v>332</v>
      </c>
      <c r="AW5" s="19" t="s">
        <v>318</v>
      </c>
      <c r="AX5" s="19" t="s">
        <v>333</v>
      </c>
      <c r="AY5" s="19" t="s">
        <v>236</v>
      </c>
      <c r="AZ5" s="19" t="s">
        <v>334</v>
      </c>
      <c r="BA5" s="19" t="s">
        <v>335</v>
      </c>
      <c r="BB5" s="19" t="s">
        <v>336</v>
      </c>
      <c r="BC5" s="19" t="s">
        <v>337</v>
      </c>
      <c r="BD5" s="19" t="s">
        <v>337</v>
      </c>
      <c r="BE5" s="19" t="s">
        <v>245</v>
      </c>
      <c r="BF5" s="4" t="s">
        <v>338</v>
      </c>
    </row>
    <row x14ac:dyDescent="0.25" r="6" customHeight="1" ht="18.75">
      <c r="A6" s="20" t="s">
        <v>339</v>
      </c>
      <c r="B6" s="20" t="s">
        <v>340</v>
      </c>
      <c r="C6" s="20" t="s">
        <v>341</v>
      </c>
      <c r="D6" s="20" t="s">
        <v>342</v>
      </c>
      <c r="E6" s="20" t="s">
        <v>343</v>
      </c>
      <c r="F6" s="20" t="s">
        <v>344</v>
      </c>
      <c r="G6" s="16"/>
      <c r="H6" s="16"/>
      <c r="I6" s="16"/>
      <c r="J6" s="20" t="s">
        <v>345</v>
      </c>
      <c r="K6" s="16"/>
      <c r="L6" s="16"/>
      <c r="M6" s="20" t="s">
        <v>346</v>
      </c>
      <c r="N6" s="16"/>
      <c r="O6" s="20" t="s">
        <v>347</v>
      </c>
      <c r="P6" s="16"/>
      <c r="Q6" s="16"/>
      <c r="R6" s="20" t="s">
        <v>17</v>
      </c>
      <c r="S6" s="16"/>
      <c r="T6" s="16"/>
      <c r="U6" s="16"/>
      <c r="V6" s="16"/>
      <c r="W6" s="20" t="s">
        <v>348</v>
      </c>
      <c r="X6" s="20" t="s">
        <v>349</v>
      </c>
      <c r="Y6" s="20" t="s">
        <v>350</v>
      </c>
      <c r="Z6" s="20" t="s">
        <v>351</v>
      </c>
      <c r="AA6" s="20" t="s">
        <v>352</v>
      </c>
      <c r="AB6" s="20" t="s">
        <v>353</v>
      </c>
      <c r="AC6" s="20" t="s">
        <v>354</v>
      </c>
      <c r="AD6" s="20" t="s">
        <v>355</v>
      </c>
      <c r="AE6" s="20" t="s">
        <v>356</v>
      </c>
      <c r="AF6" s="20" t="s">
        <v>357</v>
      </c>
      <c r="AG6" s="20" t="s">
        <v>358</v>
      </c>
      <c r="AH6" s="20" t="s">
        <v>359</v>
      </c>
      <c r="AI6" s="20" t="s">
        <v>360</v>
      </c>
      <c r="AJ6" s="20" t="s">
        <v>361</v>
      </c>
      <c r="AK6" s="20" t="s">
        <v>362</v>
      </c>
      <c r="AL6" s="16"/>
      <c r="AM6" s="16"/>
      <c r="AN6" s="16"/>
      <c r="AO6" s="20" t="s">
        <v>363</v>
      </c>
      <c r="AP6" s="16"/>
      <c r="AQ6" s="20" t="s">
        <v>364</v>
      </c>
      <c r="AR6" s="16"/>
      <c r="AS6" s="20" t="s">
        <v>365</v>
      </c>
      <c r="AT6" s="20" t="s">
        <v>366</v>
      </c>
      <c r="AU6" s="20" t="s">
        <v>367</v>
      </c>
      <c r="AV6" s="16"/>
      <c r="AW6" s="20" t="s">
        <v>357</v>
      </c>
      <c r="AX6" s="20" t="s">
        <v>354</v>
      </c>
      <c r="AY6" s="20" t="s">
        <v>368</v>
      </c>
      <c r="AZ6" s="20" t="s">
        <v>369</v>
      </c>
      <c r="BA6" s="20" t="s">
        <v>370</v>
      </c>
      <c r="BB6" s="20" t="s">
        <v>371</v>
      </c>
      <c r="BC6" s="16"/>
      <c r="BD6" s="16"/>
      <c r="BE6" s="20" t="s">
        <v>372</v>
      </c>
      <c r="BF6" s="3" t="s">
        <v>373</v>
      </c>
    </row>
    <row x14ac:dyDescent="0.25" r="7" customHeight="1" ht="18.75">
      <c r="A7" s="19" t="s">
        <v>345</v>
      </c>
      <c r="B7" s="19" t="s">
        <v>374</v>
      </c>
      <c r="C7" s="19" t="s">
        <v>375</v>
      </c>
      <c r="D7" s="16"/>
      <c r="E7" s="19" t="s">
        <v>376</v>
      </c>
      <c r="F7" s="19" t="s">
        <v>347</v>
      </c>
      <c r="G7" s="16"/>
      <c r="H7" s="16"/>
      <c r="I7" s="16"/>
      <c r="J7" s="19" t="s">
        <v>377</v>
      </c>
      <c r="K7" s="16"/>
      <c r="L7" s="16"/>
      <c r="M7" s="16"/>
      <c r="N7" s="16"/>
      <c r="O7" s="16"/>
      <c r="P7" s="16"/>
      <c r="Q7" s="16"/>
      <c r="R7" s="19" t="s">
        <v>378</v>
      </c>
      <c r="S7" s="16"/>
      <c r="T7" s="16"/>
      <c r="U7" s="16"/>
      <c r="V7" s="16"/>
      <c r="W7" s="19" t="s">
        <v>379</v>
      </c>
      <c r="X7" s="19" t="s">
        <v>380</v>
      </c>
      <c r="Y7" s="16"/>
      <c r="Z7" s="16"/>
      <c r="AA7" s="19" t="s">
        <v>381</v>
      </c>
      <c r="AB7" s="16"/>
      <c r="AC7" s="16"/>
      <c r="AD7" s="19" t="s">
        <v>382</v>
      </c>
      <c r="AE7" s="19" t="s">
        <v>383</v>
      </c>
      <c r="AF7" s="19" t="s">
        <v>384</v>
      </c>
      <c r="AG7" s="19" t="s">
        <v>385</v>
      </c>
      <c r="AH7" s="19" t="s">
        <v>365</v>
      </c>
      <c r="AI7" s="16"/>
      <c r="AJ7" s="16"/>
      <c r="AK7" s="19" t="s">
        <v>386</v>
      </c>
      <c r="AL7" s="16"/>
      <c r="AM7" s="16"/>
      <c r="AN7" s="16"/>
      <c r="AO7" s="16"/>
      <c r="AP7" s="16"/>
      <c r="AQ7" s="16"/>
      <c r="AR7" s="16"/>
      <c r="AS7" s="16"/>
      <c r="AT7" s="19" t="s">
        <v>365</v>
      </c>
      <c r="AU7" s="19" t="s">
        <v>365</v>
      </c>
      <c r="AV7" s="16"/>
      <c r="AW7" s="19" t="s">
        <v>365</v>
      </c>
      <c r="AX7" s="19" t="s">
        <v>337</v>
      </c>
      <c r="AY7" s="19" t="s">
        <v>387</v>
      </c>
      <c r="AZ7" s="19" t="s">
        <v>388</v>
      </c>
      <c r="BA7" s="19" t="s">
        <v>389</v>
      </c>
      <c r="BB7" s="16"/>
      <c r="BC7" s="16"/>
      <c r="BD7" s="16"/>
      <c r="BE7" s="19" t="s">
        <v>390</v>
      </c>
      <c r="BF7" s="4" t="s">
        <v>391</v>
      </c>
    </row>
    <row x14ac:dyDescent="0.25" r="8" customHeight="1" ht="18.75">
      <c r="A8" s="20" t="s">
        <v>392</v>
      </c>
      <c r="B8" s="16"/>
      <c r="C8" s="20" t="s">
        <v>393</v>
      </c>
      <c r="D8" s="16"/>
      <c r="E8" s="20" t="s">
        <v>394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20" t="s">
        <v>395</v>
      </c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20" t="s">
        <v>396</v>
      </c>
      <c r="AF8" s="20" t="s">
        <v>397</v>
      </c>
      <c r="AG8" s="20" t="s">
        <v>398</v>
      </c>
      <c r="AH8" s="16"/>
      <c r="AI8" s="16"/>
      <c r="AJ8" s="16"/>
      <c r="AK8" s="20" t="s">
        <v>399</v>
      </c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20" t="s">
        <v>400</v>
      </c>
      <c r="BB8" s="16"/>
      <c r="BC8" s="16"/>
      <c r="BD8" s="16"/>
      <c r="BE8" s="20" t="s">
        <v>401</v>
      </c>
      <c r="BF8" s="3" t="s">
        <v>402</v>
      </c>
    </row>
    <row x14ac:dyDescent="0.25" r="9" customHeight="1" ht="18.75">
      <c r="A9" s="19" t="s">
        <v>403</v>
      </c>
      <c r="B9" s="16"/>
      <c r="C9" s="19" t="s">
        <v>404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9" t="s">
        <v>405</v>
      </c>
      <c r="AF9" s="19" t="s">
        <v>406</v>
      </c>
      <c r="AG9" s="19" t="s">
        <v>407</v>
      </c>
      <c r="AH9" s="16"/>
      <c r="AI9" s="16"/>
      <c r="AJ9" s="16"/>
      <c r="AK9" s="19" t="s">
        <v>408</v>
      </c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9" t="s">
        <v>409</v>
      </c>
      <c r="BF9" s="4" t="s">
        <v>410</v>
      </c>
    </row>
    <row x14ac:dyDescent="0.25" r="10" customHeight="1" ht="18.7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20" t="s">
        <v>411</v>
      </c>
      <c r="BF10" s="3" t="s">
        <v>412</v>
      </c>
    </row>
    <row x14ac:dyDescent="0.25" r="11" customHeight="1" ht="18.7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9" t="s">
        <v>413</v>
      </c>
      <c r="BF11" s="4" t="s">
        <v>414</v>
      </c>
    </row>
    <row x14ac:dyDescent="0.25" r="12" customHeight="1" ht="18.7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20" t="s">
        <v>415</v>
      </c>
      <c r="BF12" s="3" t="s">
        <v>416</v>
      </c>
    </row>
    <row x14ac:dyDescent="0.25" r="13" customHeight="1" ht="18.7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9" t="s">
        <v>417</v>
      </c>
      <c r="BF13" s="4" t="s">
        <v>418</v>
      </c>
    </row>
    <row x14ac:dyDescent="0.25" r="14" customHeight="1" ht="18.7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20" t="s">
        <v>419</v>
      </c>
      <c r="BF14" s="3" t="s">
        <v>420</v>
      </c>
    </row>
    <row x14ac:dyDescent="0.25" r="15" customHeight="1" ht="18.7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9" t="s">
        <v>421</v>
      </c>
      <c r="BF15" s="4" t="s">
        <v>422</v>
      </c>
    </row>
  </sheetData>
  <mergeCells count="2">
    <mergeCell ref="A1:BD1"/>
    <mergeCell ref="BE1:BF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35"/>
  <sheetViews>
    <sheetView workbookViewId="0"/>
  </sheetViews>
  <sheetFormatPr defaultRowHeight="15" x14ac:dyDescent="0.25"/>
  <cols>
    <col min="1" max="1" style="5" width="34.005" customWidth="1" bestFit="1"/>
    <col min="2" max="2" style="5" width="14.005" customWidth="1" bestFit="1"/>
    <col min="3" max="3" style="5" width="4.005" customWidth="1" bestFit="1"/>
    <col min="4" max="4" style="5" width="28.005" customWidth="1" bestFit="1"/>
    <col min="5" max="5" style="5" width="14.005" customWidth="1" bestFit="1"/>
    <col min="6" max="6" style="5" width="4.005" customWidth="1" bestFit="1"/>
    <col min="7" max="7" style="5" width="28.005" customWidth="1" bestFit="1"/>
    <col min="8" max="8" style="5" width="14.005" customWidth="1" bestFit="1"/>
    <col min="9" max="9" style="5" width="4.005" customWidth="1" bestFit="1"/>
    <col min="10" max="10" style="5" width="28.005" customWidth="1" bestFit="1"/>
    <col min="11" max="11" style="5" width="14.005" customWidth="1" bestFit="1"/>
    <col min="12" max="12" style="5" width="4.005" customWidth="1" bestFit="1"/>
    <col min="13" max="13" style="5" width="24.005" customWidth="1" bestFit="1"/>
    <col min="14" max="14" style="14" width="12.005" customWidth="1" bestFit="1"/>
  </cols>
  <sheetData>
    <row x14ac:dyDescent="0.25" r="1" customHeight="1" ht="34.1796875" customFormat="1" s="1">
      <c r="A1" s="6" t="s">
        <v>113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x14ac:dyDescent="0.25" r="2" customHeight="1" ht="17.08984375" customFormat="1" s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7"/>
    </row>
    <row x14ac:dyDescent="0.25" r="3" customHeight="1" ht="34.1796875" customFormat="1" s="1">
      <c r="A3" s="9" t="s">
        <v>114</v>
      </c>
      <c r="B3" s="7"/>
      <c r="C3" s="8"/>
      <c r="D3" s="9" t="s">
        <v>115</v>
      </c>
      <c r="E3" s="7"/>
      <c r="F3" s="8"/>
      <c r="G3" s="9" t="s">
        <v>116</v>
      </c>
      <c r="H3" s="7"/>
      <c r="I3" s="8"/>
      <c r="J3" s="9" t="s">
        <v>117</v>
      </c>
      <c r="K3" s="7"/>
      <c r="L3" s="8"/>
      <c r="M3" s="9" t="s">
        <v>118</v>
      </c>
      <c r="N3" s="7"/>
    </row>
    <row x14ac:dyDescent="0.25" r="4" customHeight="1" ht="17.08984375">
      <c r="A4" s="3" t="s">
        <v>119</v>
      </c>
      <c r="B4" s="10">
        <f>COUNTA(Master_Experiments!$A$2:$A$500)</f>
      </c>
      <c r="C4" s="8"/>
      <c r="D4" s="11">
        <f>Dictionary_Validation!A3</f>
      </c>
      <c r="E4" s="11">
        <f>COUNTIF(Master_Experiments!$C:$C,D4)</f>
      </c>
      <c r="F4" s="8"/>
      <c r="G4" s="11">
        <f>Dictionary_Validation!B3</f>
      </c>
      <c r="H4" s="11">
        <f>COUNTIF(Master_Experiments!$D:$D,G4)</f>
      </c>
      <c r="I4" s="8"/>
      <c r="J4" s="11">
        <f>IFERROR(Data_Selection_Design!$A2,"")</f>
      </c>
      <c r="K4" s="11">
        <f>IF(J4="",0,IFERROR(SUMPRODUCT((Run_Log!$F$2:$F$2000=J4)*(Run_Log!$B$2:$B$2000&lt;&gt;"")/COUNTIFS(Run_Log!$F$2:$F$2000,J4,Run_Log!$B$2:$B$2000,Run_Log!$B$2:$B$2000)),0))</f>
      </c>
      <c r="L4" s="8"/>
      <c r="M4" s="11">
        <f>IFERROR(Grouping_Strategy_Map!$A2,"")</f>
      </c>
      <c r="N4" s="12">
        <f>IF(M4="",0,IFERROR(SUMPRODUCT((Run_Log!$G$2:$G$2000=M4)*(Run_Log!$B$2:$B$2000&lt;&gt;"")/COUNTIFS(Run_Log!$G$2:$G$2000,M4,Run_Log!$B$2:$B$2000,Run_Log!$B$2:$B$2000)),0))</f>
      </c>
    </row>
    <row x14ac:dyDescent="0.25" r="5" customHeight="1" ht="34.1796875">
      <c r="A5" s="4" t="s">
        <v>120</v>
      </c>
      <c r="B5" s="11">
        <f>COUNTIF(Master_Experiments!$AA$2:$AA$500,"Completed")</f>
      </c>
      <c r="C5" s="8"/>
      <c r="D5" s="11">
        <f>Dictionary_Validation!A4</f>
      </c>
      <c r="E5" s="11">
        <f>COUNTIF(Master_Experiments!$C:$C,D5)</f>
      </c>
      <c r="F5" s="8"/>
      <c r="G5" s="11">
        <f>Dictionary_Validation!B4</f>
      </c>
      <c r="H5" s="11">
        <f>COUNTIF(Master_Experiments!$D:$D,G5)</f>
      </c>
      <c r="I5" s="8"/>
      <c r="J5" s="11">
        <f>IFERROR(Data_Selection_Design!$A3,"")</f>
      </c>
      <c r="K5" s="11">
        <f>IF(J5="",0,IFERROR(SUMPRODUCT((Run_Log!$F$2:$F$2000=J5)*(Run_Log!$B$2:$B$2000&lt;&gt;"")/COUNTIFS(Run_Log!$F$2:$F$2000,J5,Run_Log!$B$2:$B$2000,Run_Log!$B$2:$B$2000)),0))</f>
      </c>
      <c r="L5" s="8"/>
      <c r="M5" s="11">
        <f>IFERROR(Grouping_Strategy_Map!$A3,"")</f>
      </c>
      <c r="N5" s="12">
        <f>IF(M5="",0,IFERROR(SUMPRODUCT((Run_Log!$G$2:$G$2000=M5)*(Run_Log!$B$2:$B$2000&lt;&gt;"")/COUNTIFS(Run_Log!$G$2:$G$2000,M5,Run_Log!$B$2:$B$2000,Run_Log!$B$2:$B$2000)),0))</f>
      </c>
    </row>
    <row x14ac:dyDescent="0.25" r="6" customHeight="1" ht="34.1796875">
      <c r="A6" s="3" t="s">
        <v>121</v>
      </c>
      <c r="B6" s="10">
        <f>COUNTIFS(Master_Experiments!$F$2:$F$500,"Critical",Master_Experiments!$AA$2:$AA$500,"Completed")</f>
      </c>
      <c r="C6" s="8"/>
      <c r="D6" s="11">
        <f>Dictionary_Validation!A5</f>
      </c>
      <c r="E6" s="11">
        <f>COUNTIF(Master_Experiments!$C:$C,D6)</f>
      </c>
      <c r="F6" s="8"/>
      <c r="G6" s="11">
        <f>Dictionary_Validation!B5</f>
      </c>
      <c r="H6" s="11">
        <f>COUNTIF(Master_Experiments!$D:$D,G6)</f>
      </c>
      <c r="I6" s="8"/>
      <c r="J6" s="11">
        <f>IFERROR(Data_Selection_Design!$A4,"")</f>
      </c>
      <c r="K6" s="11">
        <f>IF(J6="",0,IFERROR(SUMPRODUCT((Run_Log!$F$2:$F$2000=J6)*(Run_Log!$B$2:$B$2000&lt;&gt;"")/COUNTIFS(Run_Log!$F$2:$F$2000,J6,Run_Log!$B$2:$B$2000,Run_Log!$B$2:$B$2000)),0))</f>
      </c>
      <c r="L6" s="8"/>
      <c r="M6" s="11">
        <f>IFERROR(Grouping_Strategy_Map!$A4,"")</f>
      </c>
      <c r="N6" s="12">
        <f>IF(M6="",0,IFERROR(SUMPRODUCT((Run_Log!$G$2:$G$2000=M6)*(Run_Log!$B$2:$B$2000&lt;&gt;"")/COUNTIFS(Run_Log!$G$2:$G$2000,M6,Run_Log!$B$2:$B$2000,Run_Log!$B$2:$B$2000)),0))</f>
      </c>
    </row>
    <row x14ac:dyDescent="0.25" r="7" customHeight="1" ht="51.26953125">
      <c r="A7" s="4" t="s">
        <v>122</v>
      </c>
      <c r="B7" s="11">
        <f>COUNTIF(Decision_Log!$M$2:$M$500,"Open")</f>
      </c>
      <c r="C7" s="8"/>
      <c r="D7" s="11">
        <f>Dictionary_Validation!A6</f>
      </c>
      <c r="E7" s="11">
        <f>COUNTIF(Master_Experiments!$C:$C,D7)</f>
      </c>
      <c r="F7" s="8"/>
      <c r="G7" s="11">
        <f>Dictionary_Validation!B6</f>
      </c>
      <c r="H7" s="11">
        <f>COUNTIF(Master_Experiments!$D:$D,G7)</f>
      </c>
      <c r="I7" s="8"/>
      <c r="J7" s="11">
        <f>IFERROR(Data_Selection_Design!$A5,"")</f>
      </c>
      <c r="K7" s="11">
        <f>IF(J7="",0,IFERROR(SUMPRODUCT((Run_Log!$F$2:$F$2000=J7)*(Run_Log!$B$2:$B$2000&lt;&gt;"")/COUNTIFS(Run_Log!$F$2:$F$2000,J7,Run_Log!$B$2:$B$2000,Run_Log!$B$2:$B$2000)),0))</f>
      </c>
      <c r="L7" s="8"/>
      <c r="M7" s="11">
        <f>IFERROR(Grouping_Strategy_Map!$A5,"")</f>
      </c>
      <c r="N7" s="12">
        <f>IF(M7="",0,IFERROR(SUMPRODUCT((Run_Log!$G$2:$G$2000=M7)*(Run_Log!$B$2:$B$2000&lt;&gt;"")/COUNTIFS(Run_Log!$G$2:$G$2000,M7,Run_Log!$B$2:$B$2000,Run_Log!$B$2:$B$2000)),0))</f>
      </c>
    </row>
    <row x14ac:dyDescent="0.25" r="8" customHeight="1" ht="17.08984375">
      <c r="A8" s="3" t="s">
        <v>123</v>
      </c>
      <c r="B8" s="10">
        <f>COUNTIF(Decision_Log!$M$2:$M$500,"Locked")</f>
      </c>
      <c r="C8" s="8"/>
      <c r="D8" s="11">
        <f>Dictionary_Validation!A7</f>
      </c>
      <c r="E8" s="11">
        <f>COUNTIF(Master_Experiments!$C:$C,D8)</f>
      </c>
      <c r="F8" s="8"/>
      <c r="G8" s="11">
        <f>Dictionary_Validation!B7</f>
      </c>
      <c r="H8" s="11">
        <f>COUNTIF(Master_Experiments!$D:$D,G8)</f>
      </c>
      <c r="I8" s="8"/>
      <c r="J8" s="11">
        <f>IFERROR(Data_Selection_Design!$A6,"")</f>
      </c>
      <c r="K8" s="11">
        <f>IF(J8="",0,IFERROR(SUMPRODUCT((Run_Log!$F$2:$F$2000=J8)*(Run_Log!$B$2:$B$2000&lt;&gt;"")/COUNTIFS(Run_Log!$F$2:$F$2000,J8,Run_Log!$B$2:$B$2000,Run_Log!$B$2:$B$2000)),0))</f>
      </c>
      <c r="L8" s="8"/>
      <c r="M8" s="11">
        <f>IFERROR(Grouping_Strategy_Map!$A6,"")</f>
      </c>
      <c r="N8" s="12">
        <f>IF(M8="",0,IFERROR(SUMPRODUCT((Run_Log!$G$2:$G$2000=M8)*(Run_Log!$B$2:$B$2000&lt;&gt;"")/COUNTIFS(Run_Log!$G$2:$G$2000,M8,Run_Log!$B$2:$B$2000,Run_Log!$B$2:$B$2000)),0))</f>
      </c>
    </row>
    <row x14ac:dyDescent="0.25" r="9" customHeight="1" ht="17.08984375">
      <c r="A9" s="4" t="s">
        <v>124</v>
      </c>
      <c r="B9" s="11">
        <f>IF(COUNTIFS(Decision_Log!$A:$A,"D01",Decision_Log!$M:$M,"Locked")&gt;0,"YES","NO")</f>
      </c>
      <c r="C9" s="8"/>
      <c r="D9" s="11">
        <f>Dictionary_Validation!A8</f>
      </c>
      <c r="E9" s="11">
        <f>COUNTIF(Master_Experiments!$C:$C,D9)</f>
      </c>
      <c r="F9" s="8"/>
      <c r="G9" s="8"/>
      <c r="H9" s="8"/>
      <c r="I9" s="8"/>
      <c r="J9" s="11">
        <f>IFERROR(Data_Selection_Design!$A7,"")</f>
      </c>
      <c r="K9" s="11">
        <f>IF(J9="",0,IFERROR(SUMPRODUCT((Run_Log!$F$2:$F$2000=J9)*(Run_Log!$B$2:$B$2000&lt;&gt;"")/COUNTIFS(Run_Log!$F$2:$F$2000,J9,Run_Log!$B$2:$B$2000,Run_Log!$B$2:$B$2000)),0))</f>
      </c>
      <c r="L9" s="8"/>
      <c r="M9" s="11">
        <f>IFERROR(Grouping_Strategy_Map!$A7,"")</f>
      </c>
      <c r="N9" s="12">
        <f>IF(M9="",0,IFERROR(SUMPRODUCT((Run_Log!$G$2:$G$2000=M9)*(Run_Log!$B$2:$B$2000&lt;&gt;"")/COUNTIFS(Run_Log!$G$2:$G$2000,M9,Run_Log!$B$2:$B$2000,Run_Log!$B$2:$B$2000)),0))</f>
      </c>
    </row>
    <row x14ac:dyDescent="0.25" r="10" customHeight="1" ht="17.08984375">
      <c r="A10" s="3" t="s">
        <v>125</v>
      </c>
      <c r="B10" s="10">
        <f>IF(COUNTIFS(Decision_Log!$A:$A,"D02",Decision_Log!$M:$M,"Locked")&gt;0,"YES","NO")</f>
      </c>
      <c r="C10" s="8"/>
      <c r="D10" s="11">
        <f>Dictionary_Validation!A9</f>
      </c>
      <c r="E10" s="11">
        <f>COUNTIF(Master_Experiments!$C:$C,D10)</f>
      </c>
      <c r="F10" s="8"/>
      <c r="G10" s="8"/>
      <c r="H10" s="8"/>
      <c r="I10" s="8"/>
      <c r="J10" s="11">
        <f>IFERROR(Data_Selection_Design!$A8,"")</f>
      </c>
      <c r="K10" s="11">
        <f>IF(J10="",0,IFERROR(SUMPRODUCT((Run_Log!$F$2:$F$2000=J10)*(Run_Log!$B$2:$B$2000&lt;&gt;"")/COUNTIFS(Run_Log!$F$2:$F$2000,J10,Run_Log!$B$2:$B$2000,Run_Log!$B$2:$B$2000)),0))</f>
      </c>
      <c r="L10" s="8"/>
      <c r="M10" s="11">
        <f>IFERROR(Grouping_Strategy_Map!$A8,"")</f>
      </c>
      <c r="N10" s="12">
        <f>IF(M10="",0,IFERROR(SUMPRODUCT((Run_Log!$G$2:$G$2000=M10)*(Run_Log!$B$2:$B$2000&lt;&gt;"")/COUNTIFS(Run_Log!$G$2:$G$2000,M10,Run_Log!$B$2:$B$2000,Run_Log!$B$2:$B$2000)),0))</f>
      </c>
    </row>
    <row x14ac:dyDescent="0.25" r="11" customHeight="1" ht="17.08984375">
      <c r="A11" s="4" t="s">
        <v>126</v>
      </c>
      <c r="B11" s="11">
        <f>IF(AND(COUNTIFS(Decision_Log!$A:$A,"D03",Decision_Log!$M:$M,"Locked")&gt;0,COUNTIFS(Decision_Log!$A:$A,"D04",Decision_Log!$M:$M,"Locked")&gt;0,COUNTIFS(Decision_Log!$A:$A,"D05",Decision_Log!$M:$M,"Locked")&gt;0),"YES","NO")</f>
      </c>
      <c r="C11" s="8"/>
      <c r="D11" s="8"/>
      <c r="E11" s="8"/>
      <c r="F11" s="8"/>
      <c r="G11" s="8"/>
      <c r="H11" s="8"/>
      <c r="I11" s="8"/>
      <c r="J11" s="11">
        <f>IFERROR(Data_Selection_Design!$A9,"")</f>
      </c>
      <c r="K11" s="11">
        <f>IF(J11="",0,IFERROR(SUMPRODUCT((Run_Log!$F$2:$F$2000=J11)*(Run_Log!$B$2:$B$2000&lt;&gt;"")/COUNTIFS(Run_Log!$F$2:$F$2000,J11,Run_Log!$B$2:$B$2000,Run_Log!$B$2:$B$2000)),0))</f>
      </c>
      <c r="L11" s="8"/>
      <c r="M11" s="11">
        <f>IFERROR(Grouping_Strategy_Map!$A9,"")</f>
      </c>
      <c r="N11" s="12">
        <f>IF(M11="",0,IFERROR(SUMPRODUCT((Run_Log!$G$2:$G$2000=M11)*(Run_Log!$B$2:$B$2000&lt;&gt;"")/COUNTIFS(Run_Log!$G$2:$G$2000,M11,Run_Log!$B$2:$B$2000,Run_Log!$B$2:$B$2000)),0))</f>
      </c>
    </row>
    <row x14ac:dyDescent="0.25" r="12" customHeight="1" ht="17.08984375">
      <c r="A12" s="3" t="s">
        <v>127</v>
      </c>
      <c r="B12" s="10">
        <f>IF(AND(COUNTIFS(Decision_Log!$A:$A,"D06",Decision_Log!$M:$M,"Locked")&gt;0,COUNTIFS(Decision_Log!$A:$A,"D07",Decision_Log!$M:$M,"Locked")&gt;0),"YES","NO")</f>
      </c>
      <c r="C12" s="8"/>
      <c r="D12" s="8"/>
      <c r="E12" s="8"/>
      <c r="F12" s="8"/>
      <c r="G12" s="8"/>
      <c r="H12" s="8"/>
      <c r="I12" s="8"/>
      <c r="J12" s="11">
        <f>IFERROR(Data_Selection_Design!$A10,"")</f>
      </c>
      <c r="K12" s="11">
        <f>IF(J12="",0,IFERROR(SUMPRODUCT((Run_Log!$F$2:$F$2000=J12)*(Run_Log!$B$2:$B$2000&lt;&gt;"")/COUNTIFS(Run_Log!$F$2:$F$2000,J12,Run_Log!$B$2:$B$2000,Run_Log!$B$2:$B$2000)),0))</f>
      </c>
      <c r="L12" s="8"/>
      <c r="M12" s="11">
        <f>IFERROR(Grouping_Strategy_Map!$A10,"")</f>
      </c>
      <c r="N12" s="12">
        <f>IF(M12="",0,IFERROR(SUMPRODUCT((Run_Log!$G$2:$G$2000=M12)*(Run_Log!$B$2:$B$2000&lt;&gt;"")/COUNTIFS(Run_Log!$G$2:$G$2000,M12,Run_Log!$B$2:$B$2000,Run_Log!$B$2:$B$2000)),0))</f>
      </c>
    </row>
    <row x14ac:dyDescent="0.25" r="13" customHeight="1" ht="34.1796875">
      <c r="A13" s="4" t="s">
        <v>128</v>
      </c>
      <c r="B13" s="11">
        <f>IF(COUNTIFS(Confirmatory_Set!$J:$J,"YES")=COUNTIFS(Confirmatory_Set!$A:$A,"&lt;&gt;"),"YES","NO")</f>
      </c>
      <c r="C13" s="8"/>
      <c r="D13" s="8"/>
      <c r="E13" s="8"/>
      <c r="F13" s="8"/>
      <c r="G13" s="8"/>
      <c r="H13" s="8"/>
      <c r="I13" s="8"/>
      <c r="J13" s="11">
        <f>IFERROR(Data_Selection_Design!$A11,"")</f>
      </c>
      <c r="K13" s="11">
        <f>IF(J13="",0,IFERROR(SUMPRODUCT((Run_Log!$F$2:$F$2000=J13)*(Run_Log!$B$2:$B$2000&lt;&gt;"")/COUNTIFS(Run_Log!$F$2:$F$2000,J13,Run_Log!$B$2:$B$2000,Run_Log!$B$2:$B$2000)),0))</f>
      </c>
      <c r="L13" s="8"/>
      <c r="M13" s="11">
        <f>IFERROR(Grouping_Strategy_Map!$A11,"")</f>
      </c>
      <c r="N13" s="12">
        <f>IF(M13="",0,IFERROR(SUMPRODUCT((Run_Log!$G$2:$G$2000=M13)*(Run_Log!$B$2:$B$2000&lt;&gt;"")/COUNTIFS(Run_Log!$G$2:$G$2000,M13,Run_Log!$B$2:$B$2000,Run_Log!$B$2:$B$2000)),0))</f>
      </c>
    </row>
    <row x14ac:dyDescent="0.25" r="14" customHeight="1" ht="34.1796875">
      <c r="A14" s="3" t="s">
        <v>129</v>
      </c>
      <c r="B14" s="10">
        <f>IF(AND(B13="YES",COUNTIFS(Confirmatory_Set!$H:$H,"YES",Confirmatory_Set!$G:$G,"YES",Confirmatory_Set!$I:$I,"YES")=COUNTIFS(Confirmatory_Set!$H:$H,"YES")),"YES","NO")</f>
      </c>
      <c r="C14" s="8"/>
      <c r="D14" s="8"/>
      <c r="E14" s="8"/>
      <c r="F14" s="8"/>
      <c r="G14" s="8"/>
      <c r="H14" s="8"/>
      <c r="I14" s="8"/>
      <c r="J14" s="11">
        <f>IFERROR(Data_Selection_Design!$A12,"")</f>
      </c>
      <c r="K14" s="11">
        <f>IF(J14="",0,IFERROR(SUMPRODUCT((Run_Log!$F$2:$F$2000=J14)*(Run_Log!$B$2:$B$2000&lt;&gt;"")/COUNTIFS(Run_Log!$F$2:$F$2000,J14,Run_Log!$B$2:$B$2000,Run_Log!$B$2:$B$2000)),0))</f>
      </c>
      <c r="L14" s="8"/>
      <c r="M14" s="11">
        <f>IFERROR(Grouping_Strategy_Map!$A12,"")</f>
      </c>
      <c r="N14" s="12">
        <f>IF(M14="",0,IFERROR(SUMPRODUCT((Run_Log!$G$2:$G$2000=M14)*(Run_Log!$B$2:$B$2000&lt;&gt;"")/COUNTIFS(Run_Log!$G$2:$G$2000,M14,Run_Log!$B$2:$B$2000,Run_Log!$B$2:$B$2000)),0))</f>
      </c>
    </row>
    <row x14ac:dyDescent="0.25" r="15" customHeight="1" ht="34.1796875">
      <c r="A15" s="4" t="s">
        <v>130</v>
      </c>
      <c r="B15" s="11">
        <f>COUNTIFS(Thesis_Map!$B$2:$B$500,"Chapter 4",Thesis_Map!$E$2:$E$500,"Main")</f>
      </c>
      <c r="C15" s="8"/>
      <c r="D15" s="8"/>
      <c r="E15" s="8"/>
      <c r="F15" s="8"/>
      <c r="G15" s="8"/>
      <c r="H15" s="8"/>
      <c r="I15" s="8"/>
      <c r="J15" s="11">
        <f>IFERROR(Data_Selection_Design!$A13,"")</f>
      </c>
      <c r="K15" s="11">
        <f>IF(J15="",0,IFERROR(SUMPRODUCT((Run_Log!$F$2:$F$2000=J15)*(Run_Log!$B$2:$B$2000&lt;&gt;"")/COUNTIFS(Run_Log!$F$2:$F$2000,J15,Run_Log!$B$2:$B$2000,Run_Log!$B$2:$B$2000)),0))</f>
      </c>
      <c r="L15" s="8"/>
      <c r="M15" s="11">
        <f>IFERROR(Grouping_Strategy_Map!$A13,"")</f>
      </c>
      <c r="N15" s="12">
        <f>IF(M15="",0,IFERROR(SUMPRODUCT((Run_Log!$G$2:$G$2000=M15)*(Run_Log!$B$2:$B$2000&lt;&gt;"")/COUNTIFS(Run_Log!$G$2:$G$2000,M15,Run_Log!$B$2:$B$2000,Run_Log!$B$2:$B$2000)),0))</f>
      </c>
    </row>
    <row x14ac:dyDescent="0.25" r="16" customHeight="1" ht="34.1796875" customFormat="1" s="1">
      <c r="A16" s="3" t="s">
        <v>131</v>
      </c>
      <c r="B16" s="10">
        <f>COUNTIF(Thesis_Map!$B$2:$B$500,"Appendix")</f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7"/>
    </row>
    <row x14ac:dyDescent="0.25" r="17" customHeight="1" ht="34.1796875" customFormat="1" s="1">
      <c r="A17" s="4" t="s">
        <v>132</v>
      </c>
      <c r="B17" s="11">
        <f>COUNTIF(Claim_Ledger!$E$2:$E$500,"supported")</f>
      </c>
      <c r="C17" s="8"/>
      <c r="D17" s="9" t="s">
        <v>133</v>
      </c>
      <c r="E17" s="7"/>
      <c r="F17" s="8"/>
      <c r="G17" s="8"/>
      <c r="H17" s="8"/>
      <c r="I17" s="8"/>
      <c r="J17" s="8"/>
      <c r="K17" s="8"/>
      <c r="L17" s="8"/>
      <c r="M17" s="8"/>
      <c r="N17" s="7"/>
    </row>
    <row x14ac:dyDescent="0.25" r="18" customHeight="1" ht="34.1796875" customFormat="1" s="1">
      <c r="A18" s="3" t="s">
        <v>134</v>
      </c>
      <c r="B18" s="10">
        <f>COUNTIF(Claim_Ledger!$E$2:$E$500,"partial")</f>
      </c>
      <c r="C18" s="8"/>
      <c r="D18" s="3" t="s">
        <v>135</v>
      </c>
      <c r="E18" s="10">
        <f>COUNTIF(Run_Log!$Q$2:$Q$2000,"pooled_all_tasks")</f>
      </c>
      <c r="F18" s="8"/>
      <c r="G18" s="8"/>
      <c r="H18" s="8"/>
      <c r="I18" s="8"/>
      <c r="J18" s="8"/>
      <c r="K18" s="8"/>
      <c r="L18" s="8"/>
      <c r="M18" s="8"/>
      <c r="N18" s="7"/>
    </row>
    <row x14ac:dyDescent="0.25" r="19" customHeight="1" ht="34.1796875" customFormat="1" s="1">
      <c r="A19" s="4" t="s">
        <v>136</v>
      </c>
      <c r="B19" s="11">
        <f>COUNTIF(Claim_Ledger!$E$2:$E$500,"open")</f>
      </c>
      <c r="C19" s="8"/>
      <c r="D19" s="4" t="s">
        <v>137</v>
      </c>
      <c r="E19" s="11">
        <f>COUNTIFS(Run_Log!$Q$2:$Q$2000,"&lt;&gt;",Run_Log!$Q$2:$Q$2000,"&lt;&gt;pooled_all_tasks")</f>
      </c>
      <c r="F19" s="8"/>
      <c r="G19" s="8"/>
      <c r="H19" s="8"/>
      <c r="I19" s="8"/>
      <c r="J19" s="8"/>
      <c r="K19" s="8"/>
      <c r="L19" s="8"/>
      <c r="M19" s="8"/>
      <c r="N19" s="7"/>
    </row>
    <row x14ac:dyDescent="0.25" r="20" customHeight="1" ht="17.08984375" customFormat="1" s="1">
      <c r="A20" s="3" t="s">
        <v>138</v>
      </c>
      <c r="B20" s="10">
        <f>COUNTA(AI_Usage_Log!$A$2:$A$500)</f>
      </c>
      <c r="C20" s="8"/>
      <c r="D20" s="3" t="s">
        <v>139</v>
      </c>
      <c r="E20" s="10">
        <f>COUNTIF(Run_Log!$R$2:$R$2000,"pooled_all_modalities")</f>
      </c>
      <c r="F20" s="8"/>
      <c r="G20" s="8"/>
      <c r="H20" s="8"/>
      <c r="I20" s="8"/>
      <c r="J20" s="8"/>
      <c r="K20" s="8"/>
      <c r="L20" s="8"/>
      <c r="M20" s="8"/>
      <c r="N20" s="7"/>
    </row>
    <row x14ac:dyDescent="0.25" r="21" customHeight="1" ht="17.08984375" customFormat="1" s="1">
      <c r="A21" s="4" t="s">
        <v>140</v>
      </c>
      <c r="B21" s="11">
        <f>COUNTIF(Ethics_Governance_Notes!$G$2:$G$500,"Open")</f>
      </c>
      <c r="C21" s="8"/>
      <c r="D21" s="4" t="s">
        <v>141</v>
      </c>
      <c r="E21" s="11">
        <f>COUNTIFS(Run_Log!$R$2:$R$2000,"&lt;&gt;",Run_Log!$R$2:$R$2000,"&lt;&gt;pooled_all_modalities")</f>
      </c>
      <c r="F21" s="8"/>
      <c r="G21" s="8"/>
      <c r="H21" s="8"/>
      <c r="I21" s="8"/>
      <c r="J21" s="8"/>
      <c r="K21" s="8"/>
      <c r="L21" s="8"/>
      <c r="M21" s="8"/>
      <c r="N21" s="7"/>
    </row>
    <row x14ac:dyDescent="0.25" r="22" customHeight="1" ht="34.1796875" customFormat="1" s="1">
      <c r="A22" s="3" t="s">
        <v>142</v>
      </c>
      <c r="B22" s="10">
        <f>COUNTIFS(Run_Log!$Z$2:$Z$2000,"mild_imbalance")+COUNTIFS(Run_Log!$Z$2:$Z$2000,"severe_imbalance")</f>
      </c>
      <c r="C22" s="8"/>
      <c r="D22" s="3" t="s">
        <v>143</v>
      </c>
      <c r="E22" s="10">
        <f>SUMPRODUCT((Grouping_Strategy_Map!$C$2:$C$200="within_subject")*COUNTIF(Run_Log!$G$2:$G$2000,Grouping_Strategy_Map!$A$2:$A$200))</f>
      </c>
      <c r="F22" s="8"/>
      <c r="G22" s="8"/>
      <c r="H22" s="8"/>
      <c r="I22" s="8"/>
      <c r="J22" s="8"/>
      <c r="K22" s="8"/>
      <c r="L22" s="8"/>
      <c r="M22" s="8"/>
      <c r="N22" s="7"/>
    </row>
    <row x14ac:dyDescent="0.25" r="23" customHeight="1" ht="34.1796875" customFormat="1" s="1">
      <c r="A23" s="4" t="s">
        <v>144</v>
      </c>
      <c r="B23" s="11">
        <f>COUNTIFS(Run_Log!$AA$2:$AA$2000,"warning")+COUNTIFS(Run_Log!$AA$2:$AA$2000,"failed")</f>
      </c>
      <c r="C23" s="8"/>
      <c r="D23" s="4" t="s">
        <v>145</v>
      </c>
      <c r="E23" s="11">
        <f>SUMPRODUCT((Grouping_Strategy_Map!$C$2:$C$200="cross_person")*COUNTIF(Run_Log!$G$2:$G$2000,Grouping_Strategy_Map!$A$2:$A$200))</f>
      </c>
      <c r="F23" s="8"/>
      <c r="G23" s="8"/>
      <c r="H23" s="8"/>
      <c r="I23" s="8"/>
      <c r="J23" s="8"/>
      <c r="K23" s="8"/>
      <c r="L23" s="8"/>
      <c r="M23" s="8"/>
      <c r="N23" s="7"/>
    </row>
    <row x14ac:dyDescent="0.25" r="24" customHeight="1" ht="34.1796875" customFormat="1" s="1">
      <c r="A24" s="3" t="s">
        <v>146</v>
      </c>
      <c r="B24" s="10">
        <f>IF(COUNTA(Run_Log!$F$2:$F$2000)=0,0,SUMPRODUCT((Run_Log!$F$2:$F$2000&lt;&gt;"")/COUNTIF(Run_Log!$F$2:$F$2000,Run_Log!$F$2:$F$2000&amp;"")))</f>
      </c>
      <c r="C24" s="8"/>
      <c r="D24" s="3" t="s">
        <v>147</v>
      </c>
      <c r="E24" s="10">
        <f>SUMPRODUCT((Grouping_Strategy_Map!$C$2:$C$200="temporal")*COUNTIF(Run_Log!$G$2:$G$2000,Grouping_Strategy_Map!$A$2:$A$200))</f>
      </c>
      <c r="F24" s="8"/>
      <c r="G24" s="8"/>
      <c r="H24" s="8"/>
      <c r="I24" s="8"/>
      <c r="J24" s="8"/>
      <c r="K24" s="8"/>
      <c r="L24" s="8"/>
      <c r="M24" s="8"/>
      <c r="N24" s="7"/>
    </row>
    <row x14ac:dyDescent="0.25" r="25" customHeight="1" ht="34.1796875" customFormat="1" s="1">
      <c r="A25" s="4" t="s">
        <v>148</v>
      </c>
      <c r="B25" s="11">
        <f>IF(COUNTA(Run_Log!$G$2:$G$2000)=0,0,SUMPRODUCT((Run_Log!$G$2:$G$2000&lt;&gt;"")/COUNTIF(Run_Log!$G$2:$G$2000,Run_Log!$G$2:$G$2000&amp;"")))</f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7"/>
    </row>
    <row x14ac:dyDescent="0.25" r="26" customHeight="1" ht="34.1796875" customFormat="1" s="1">
      <c r="A26" s="3" t="s">
        <v>149</v>
      </c>
      <c r="B26" s="10">
        <f>COUNTIF(Run_Log!$F$2:$F$2000,"&lt;&gt;")</f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7"/>
    </row>
    <row x14ac:dyDescent="0.25" r="27" customHeight="1" ht="51.26953125" customFormat="1" s="1">
      <c r="A27" s="4" t="s">
        <v>150</v>
      </c>
      <c r="B27" s="11">
        <f>COUNTIF(Run_Log!$G$2:$G$2000,"&lt;&gt;")</f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7"/>
    </row>
    <row x14ac:dyDescent="0.25" r="28" customHeight="1" ht="17.08984375" customFormat="1" s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7"/>
    </row>
    <row x14ac:dyDescent="0.25" r="29" customHeight="1" ht="17.08984375" customFormat="1" s="1">
      <c r="A29" s="8" t="s">
        <v>151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7"/>
    </row>
    <row x14ac:dyDescent="0.25" r="30" customHeight="1" ht="34.1796875" customFormat="1" s="1">
      <c r="A30" s="8" t="s">
        <v>152</v>
      </c>
      <c r="B30" s="13">
        <f>IF(COUNTIF(Master_Experiments!$A:$A,"E12")&gt;0,"YES","NO")</f>
      </c>
      <c r="C30" s="8"/>
      <c r="D30" s="8" t="s">
        <v>153</v>
      </c>
      <c r="E30" s="13">
        <f>IF(COUNTIF(Master_Experiments!$A:$A,"E20")&gt;0,"YES","NO")</f>
      </c>
      <c r="F30" s="8"/>
      <c r="G30" s="8" t="s">
        <v>154</v>
      </c>
      <c r="H30" s="13">
        <f>IF(COUNTIF(Master_Experiments!$A:$A,"E21")&gt;0,"YES","NO")</f>
      </c>
      <c r="I30" s="8"/>
      <c r="J30" s="8" t="s">
        <v>155</v>
      </c>
      <c r="K30" s="13">
        <f>IF(COUNTIF(Master_Experiments!$A:$A,"E22")&gt;0,"YES","NO")</f>
      </c>
      <c r="L30" s="8"/>
      <c r="M30" s="8"/>
      <c r="N30" s="7"/>
    </row>
    <row x14ac:dyDescent="0.25" r="31" customHeight="1" ht="34.1796875" customFormat="1" s="1">
      <c r="A31" s="8" t="s">
        <v>156</v>
      </c>
      <c r="B31" s="13">
        <f>IF(COUNTIF(Master_Experiments!$A:$A,"E13")&gt;0,"YES","NO")</f>
      </c>
      <c r="C31" s="8"/>
      <c r="D31" s="8" t="s">
        <v>157</v>
      </c>
      <c r="E31" s="13">
        <f>IF(COUNTIF(Master_Experiments!$A:$A,"E23")&gt;0,"YES","NO")</f>
      </c>
      <c r="F31" s="8"/>
      <c r="G31" s="8" t="s">
        <v>158</v>
      </c>
      <c r="H31" s="13">
        <f>IF(COUNTIF(Master_Experiments!$A:$A,"E23")&gt;0,"YES","NO")</f>
      </c>
      <c r="I31" s="8"/>
      <c r="J31" s="8" t="s">
        <v>159</v>
      </c>
      <c r="K31" s="13">
        <f>IF(COUNTIF(Master_Experiments!$A:$A,"E24")&gt;0,"YES","NO")</f>
      </c>
      <c r="L31" s="8"/>
      <c r="M31" s="8"/>
      <c r="N31" s="7"/>
    </row>
    <row x14ac:dyDescent="0.25" r="32" customHeight="1" ht="34.1796875" customFormat="1" s="1">
      <c r="A32" s="8" t="s">
        <v>160</v>
      </c>
      <c r="B32" s="13">
        <f>IF(COUNTIF(Master_Experiments!$A:$A,"E14")&gt;0,"YES","NO")</f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7"/>
    </row>
    <row x14ac:dyDescent="0.25" r="33" customHeight="1" ht="34.1796875" customFormat="1" s="1">
      <c r="A33" s="8" t="s">
        <v>161</v>
      </c>
      <c r="B33" s="13">
        <f>COUNTIFS(Confirmatory_Set!$A:$A,"E20")+COUNTIFS(Confirmatory_Set!$A:$A,"E21")+COUNTIFS(Confirmatory_Set!$A:$A,"E22")+COUNTIFS(Confirmatory_Set!$A:$A,"E23")+COUNTIFS(Confirmatory_Set!$A:$A,"E24")</f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7"/>
    </row>
    <row x14ac:dyDescent="0.25" r="34" customHeight="1" ht="34.1796875" customFormat="1" s="1">
      <c r="A34" s="8" t="s">
        <v>162</v>
      </c>
      <c r="B34" s="13">
        <f>COUNTIFS(Master_Experiments!$A:$A,"E20",Master_Experiments!$AA:$AA,"Completed")+COUNTIFS(Master_Experiments!$A:$A,"E21",Master_Experiments!$AA:$AA,"Completed")+COUNTIFS(Master_Experiments!$A:$A,"E22",Master_Experiments!$AA:$AA,"Completed")+COUNTIFS(Master_Experiments!$A:$A,"E23",Master_Experiments!$AA:$AA,"Completed")+COUNTIFS(Master_Experiments!$A:$A,"E24",Master_Experiments!$AA:$AA,"Completed")</f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7"/>
    </row>
    <row x14ac:dyDescent="0.25" r="35" customHeight="1" ht="205.078125" customFormat="1" s="1">
      <c r="A35" s="8" t="s">
        <v>7</v>
      </c>
      <c r="B35" s="8" t="s">
        <v>163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7"/>
    </row>
  </sheetData>
  <mergeCells count="7">
    <mergeCell ref="A1:N1"/>
    <mergeCell ref="A3:B3"/>
    <mergeCell ref="D3:E3"/>
    <mergeCell ref="G3:H3"/>
    <mergeCell ref="J3:K3"/>
    <mergeCell ref="M3:N3"/>
    <mergeCell ref="D17:E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workbookViewId="0"/>
  </sheetViews>
  <sheetFormatPr defaultRowHeight="15" x14ac:dyDescent="0.25"/>
  <cols>
    <col min="1" max="1" style="5" width="8.005" customWidth="1" bestFit="1"/>
    <col min="2" max="2" style="5" width="44.005" customWidth="1" bestFit="1"/>
    <col min="3" max="3" style="5" width="18.005" customWidth="1" bestFit="1"/>
    <col min="4" max="4" style="5" width="18.005" customWidth="1" bestFit="1"/>
    <col min="5" max="5" style="5" width="14.005" customWidth="1" bestFit="1"/>
    <col min="6" max="6" style="5" width="18.005" customWidth="1" bestFit="1"/>
    <col min="7" max="7" style="5" width="32.005" customWidth="1" bestFit="1"/>
    <col min="8" max="8" style="5" width="32.005" customWidth="1" bestFit="1"/>
  </cols>
  <sheetData>
    <row x14ac:dyDescent="0.25" r="1" customHeight="1" ht="34.1796875" customFormat="1" s="1">
      <c r="A1" s="2" t="s">
        <v>71</v>
      </c>
      <c r="B1" s="2" t="s">
        <v>72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</v>
      </c>
    </row>
    <row x14ac:dyDescent="0.25" r="2" customHeight="1" ht="51.26953125" customFormat="1" s="1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  <c r="F2" s="3" t="s">
        <v>83</v>
      </c>
      <c r="G2" s="3" t="s">
        <v>84</v>
      </c>
      <c r="H2" s="3"/>
    </row>
    <row x14ac:dyDescent="0.25" r="3" customHeight="1" ht="51.26953125" customFormat="1" s="1">
      <c r="A3" s="4" t="s">
        <v>85</v>
      </c>
      <c r="B3" s="4" t="s">
        <v>86</v>
      </c>
      <c r="C3" s="4" t="s">
        <v>80</v>
      </c>
      <c r="D3" s="4" t="s">
        <v>87</v>
      </c>
      <c r="E3" s="4" t="s">
        <v>82</v>
      </c>
      <c r="F3" s="4" t="s">
        <v>83</v>
      </c>
      <c r="G3" s="4" t="s">
        <v>88</v>
      </c>
      <c r="H3" s="4"/>
    </row>
    <row x14ac:dyDescent="0.25" r="4" customHeight="1" ht="34.1796875" customFormat="1" s="1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  <c r="F4" s="3" t="s">
        <v>94</v>
      </c>
      <c r="G4" s="3" t="s">
        <v>95</v>
      </c>
      <c r="H4" s="3"/>
    </row>
    <row x14ac:dyDescent="0.25" r="5" customHeight="1" ht="68.359375" customFormat="1" s="1">
      <c r="A5" s="4" t="s">
        <v>96</v>
      </c>
      <c r="B5" s="4" t="s">
        <v>97</v>
      </c>
      <c r="C5" s="4" t="s">
        <v>98</v>
      </c>
      <c r="D5" s="4" t="s">
        <v>22</v>
      </c>
      <c r="E5" s="4" t="s">
        <v>82</v>
      </c>
      <c r="F5" s="4" t="s">
        <v>99</v>
      </c>
      <c r="G5" s="4" t="s">
        <v>100</v>
      </c>
      <c r="H5" s="4" t="s">
        <v>101</v>
      </c>
    </row>
    <row x14ac:dyDescent="0.25" r="6" customHeight="1" ht="51.26953125" customFormat="1" s="1">
      <c r="A6" s="3" t="s">
        <v>102</v>
      </c>
      <c r="B6" s="3" t="s">
        <v>103</v>
      </c>
      <c r="C6" s="3" t="s">
        <v>98</v>
      </c>
      <c r="D6" s="3" t="s">
        <v>104</v>
      </c>
      <c r="E6" s="3" t="s">
        <v>82</v>
      </c>
      <c r="F6" s="3" t="s">
        <v>99</v>
      </c>
      <c r="G6" s="3" t="s">
        <v>105</v>
      </c>
      <c r="H6" s="3" t="s">
        <v>106</v>
      </c>
    </row>
    <row x14ac:dyDescent="0.25" r="7" customHeight="1" ht="68.359375" customFormat="1" s="1">
      <c r="A7" s="4" t="s">
        <v>107</v>
      </c>
      <c r="B7" s="4" t="s">
        <v>108</v>
      </c>
      <c r="C7" s="4" t="s">
        <v>109</v>
      </c>
      <c r="D7" s="4" t="s">
        <v>41</v>
      </c>
      <c r="E7" s="4" t="s">
        <v>82</v>
      </c>
      <c r="F7" s="4" t="s">
        <v>110</v>
      </c>
      <c r="G7" s="4" t="s">
        <v>111</v>
      </c>
      <c r="H7" s="4" t="s">
        <v>112</v>
      </c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1"/>
  <sheetViews>
    <sheetView workbookViewId="0"/>
  </sheetViews>
  <sheetFormatPr defaultRowHeight="15" x14ac:dyDescent="0.25"/>
  <cols>
    <col min="1" max="1" style="5" width="8.005" customWidth="1" bestFit="1"/>
    <col min="2" max="2" style="5" width="12.005" customWidth="1" bestFit="1"/>
    <col min="3" max="3" style="5" width="24.005" customWidth="1" bestFit="1"/>
    <col min="4" max="4" style="5" width="24.005" customWidth="1" bestFit="1"/>
    <col min="5" max="5" style="5" width="34.005" customWidth="1" bestFit="1"/>
    <col min="6" max="6" style="5" width="34.005" customWidth="1" bestFit="1"/>
    <col min="7" max="7" style="5" width="34.005" customWidth="1" bestFit="1"/>
    <col min="8" max="8" style="5" width="18.005" customWidth="1" bestFit="1"/>
    <col min="9" max="9" style="5" width="18.005" customWidth="1" bestFit="1"/>
    <col min="10" max="10" style="5" width="34.005" customWidth="1" bestFit="1"/>
  </cols>
  <sheetData>
    <row x14ac:dyDescent="0.25" r="1" customHeight="1" ht="18.75" customFormat="1" s="1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7</v>
      </c>
    </row>
    <row x14ac:dyDescent="0.25" r="2" customHeight="1" ht="18.75" customFormat="1" s="1">
      <c r="A2" s="3" t="s">
        <v>56</v>
      </c>
      <c r="B2" s="3"/>
      <c r="C2" s="3"/>
      <c r="D2" s="3" t="s">
        <v>57</v>
      </c>
      <c r="E2" s="3" t="s">
        <v>58</v>
      </c>
      <c r="F2" s="3"/>
      <c r="G2" s="3"/>
      <c r="H2" s="3" t="s">
        <v>59</v>
      </c>
      <c r="I2" s="3" t="s">
        <v>60</v>
      </c>
      <c r="J2" s="3"/>
    </row>
    <row x14ac:dyDescent="0.25" r="3" customHeight="1" ht="18.75" customFormat="1" s="1">
      <c r="A3" s="4" t="s">
        <v>61</v>
      </c>
      <c r="B3" s="4" t="s">
        <v>62</v>
      </c>
      <c r="C3" s="4" t="s">
        <v>63</v>
      </c>
      <c r="D3" s="4" t="s">
        <v>64</v>
      </c>
      <c r="E3" s="4" t="s">
        <v>65</v>
      </c>
      <c r="F3" s="4" t="s">
        <v>66</v>
      </c>
      <c r="G3" s="4" t="s">
        <v>67</v>
      </c>
      <c r="H3" s="4" t="s">
        <v>68</v>
      </c>
      <c r="I3" s="4" t="s">
        <v>69</v>
      </c>
      <c r="J3" s="4" t="s">
        <v>70</v>
      </c>
    </row>
    <row x14ac:dyDescent="0.25" r="4" customHeight="1" ht="18.75" customFormat="1" s="1">
      <c r="A4" s="3"/>
      <c r="B4" s="3"/>
      <c r="C4" s="3"/>
      <c r="D4" s="3"/>
      <c r="E4" s="3"/>
      <c r="F4" s="3"/>
      <c r="G4" s="3"/>
      <c r="H4" s="3"/>
      <c r="I4" s="3"/>
      <c r="J4" s="3"/>
    </row>
    <row x14ac:dyDescent="0.25" r="5" customHeight="1" ht="18.75" customFormat="1" s="1">
      <c r="A5" s="4"/>
      <c r="B5" s="4"/>
      <c r="C5" s="4"/>
      <c r="D5" s="4"/>
      <c r="E5" s="4"/>
      <c r="F5" s="4"/>
      <c r="G5" s="4"/>
      <c r="H5" s="4"/>
      <c r="I5" s="4"/>
      <c r="J5" s="4"/>
    </row>
    <row x14ac:dyDescent="0.25" r="6" customHeight="1" ht="18.75" customFormat="1" s="1">
      <c r="A6" s="3"/>
      <c r="B6" s="3"/>
      <c r="C6" s="3"/>
      <c r="D6" s="3"/>
      <c r="E6" s="3"/>
      <c r="F6" s="3"/>
      <c r="G6" s="3"/>
      <c r="H6" s="3"/>
      <c r="I6" s="3"/>
      <c r="J6" s="3"/>
    </row>
    <row x14ac:dyDescent="0.25" r="7" customHeight="1" ht="18.75" customFormat="1" s="1">
      <c r="A7" s="4"/>
      <c r="B7" s="4"/>
      <c r="C7" s="4"/>
      <c r="D7" s="4"/>
      <c r="E7" s="4"/>
      <c r="F7" s="4"/>
      <c r="G7" s="4"/>
      <c r="H7" s="4"/>
      <c r="I7" s="4"/>
      <c r="J7" s="4"/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  <c r="I8" s="3"/>
      <c r="J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  <c r="I9" s="4"/>
      <c r="J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  <c r="I10" s="3"/>
      <c r="J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  <c r="I11" s="4"/>
      <c r="J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  <c r="I12" s="3"/>
      <c r="J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  <c r="I13" s="4"/>
      <c r="J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  <c r="I14" s="3"/>
      <c r="J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  <c r="I15" s="4"/>
      <c r="J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  <c r="I16" s="3"/>
      <c r="J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  <c r="I17" s="4"/>
      <c r="J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  <c r="I18" s="3"/>
      <c r="J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  <c r="I19" s="4"/>
      <c r="J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  <c r="I20" s="3"/>
      <c r="J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  <c r="I21" s="4"/>
      <c r="J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  <c r="I22" s="3"/>
      <c r="J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  <c r="I23" s="4"/>
      <c r="J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  <c r="I24" s="3"/>
      <c r="J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  <c r="I25" s="4"/>
      <c r="J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  <c r="I26" s="3"/>
      <c r="J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  <c r="I27" s="4"/>
      <c r="J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  <c r="I28" s="3"/>
      <c r="J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  <c r="I29" s="4"/>
      <c r="J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  <c r="I30" s="3"/>
      <c r="J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  <c r="I31" s="4"/>
      <c r="J31" s="4"/>
    </row>
    <row x14ac:dyDescent="0.25" r="32" customHeight="1" ht="18.75" customFormat="1" s="1">
      <c r="A32" s="3"/>
      <c r="B32" s="3"/>
      <c r="C32" s="3"/>
      <c r="D32" s="3"/>
      <c r="E32" s="3"/>
      <c r="F32" s="3"/>
      <c r="G32" s="3"/>
      <c r="H32" s="3"/>
      <c r="I32" s="3"/>
      <c r="J32" s="3"/>
    </row>
    <row x14ac:dyDescent="0.25" r="33" customHeight="1" ht="18.75" customFormat="1" s="1">
      <c r="A33" s="4"/>
      <c r="B33" s="4"/>
      <c r="C33" s="4"/>
      <c r="D33" s="4"/>
      <c r="E33" s="4"/>
      <c r="F33" s="4"/>
      <c r="G33" s="4"/>
      <c r="H33" s="4"/>
      <c r="I33" s="4"/>
      <c r="J33" s="4"/>
    </row>
    <row x14ac:dyDescent="0.25" r="34" customHeight="1" ht="18.75" customFormat="1" s="1">
      <c r="A34" s="3"/>
      <c r="B34" s="3"/>
      <c r="C34" s="3"/>
      <c r="D34" s="3"/>
      <c r="E34" s="3"/>
      <c r="F34" s="3"/>
      <c r="G34" s="3"/>
      <c r="H34" s="3"/>
      <c r="I34" s="3"/>
      <c r="J34" s="3"/>
    </row>
    <row x14ac:dyDescent="0.25" r="35" customHeight="1" ht="18.75" customFormat="1" s="1">
      <c r="A35" s="4"/>
      <c r="B35" s="4"/>
      <c r="C35" s="4"/>
      <c r="D35" s="4"/>
      <c r="E35" s="4"/>
      <c r="F35" s="4"/>
      <c r="G35" s="4"/>
      <c r="H35" s="4"/>
      <c r="I35" s="4"/>
      <c r="J35" s="4"/>
    </row>
    <row x14ac:dyDescent="0.25" r="36" customHeight="1" ht="18.75" customFormat="1" s="1">
      <c r="A36" s="3"/>
      <c r="B36" s="3"/>
      <c r="C36" s="3"/>
      <c r="D36" s="3"/>
      <c r="E36" s="3"/>
      <c r="F36" s="3"/>
      <c r="G36" s="3"/>
      <c r="H36" s="3"/>
      <c r="I36" s="3"/>
      <c r="J36" s="3"/>
    </row>
    <row x14ac:dyDescent="0.25" r="37" customHeight="1" ht="18.75" customFormat="1" s="1">
      <c r="A37" s="4"/>
      <c r="B37" s="4"/>
      <c r="C37" s="4"/>
      <c r="D37" s="4"/>
      <c r="E37" s="4"/>
      <c r="F37" s="4"/>
      <c r="G37" s="4"/>
      <c r="H37" s="4"/>
      <c r="I37" s="4"/>
      <c r="J37" s="4"/>
    </row>
    <row x14ac:dyDescent="0.25" r="38" customHeight="1" ht="18.75" customFormat="1" s="1">
      <c r="A38" s="3"/>
      <c r="B38" s="3"/>
      <c r="C38" s="3"/>
      <c r="D38" s="3"/>
      <c r="E38" s="3"/>
      <c r="F38" s="3"/>
      <c r="G38" s="3"/>
      <c r="H38" s="3"/>
      <c r="I38" s="3"/>
      <c r="J38" s="3"/>
    </row>
    <row x14ac:dyDescent="0.25" r="39" customHeight="1" ht="18.75" customFormat="1" s="1">
      <c r="A39" s="4"/>
      <c r="B39" s="4"/>
      <c r="C39" s="4"/>
      <c r="D39" s="4"/>
      <c r="E39" s="4"/>
      <c r="F39" s="4"/>
      <c r="G39" s="4"/>
      <c r="H39" s="4"/>
      <c r="I39" s="4"/>
      <c r="J39" s="4"/>
    </row>
    <row x14ac:dyDescent="0.25" r="40" customHeight="1" ht="18.75" customFormat="1" s="1">
      <c r="A40" s="3"/>
      <c r="B40" s="3"/>
      <c r="C40" s="3"/>
      <c r="D40" s="3"/>
      <c r="E40" s="3"/>
      <c r="F40" s="3"/>
      <c r="G40" s="3"/>
      <c r="H40" s="3"/>
      <c r="I40" s="3"/>
      <c r="J40" s="3"/>
    </row>
    <row x14ac:dyDescent="0.25" r="41" customHeight="1" ht="18.75" customFormat="1" s="1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1"/>
  <sheetViews>
    <sheetView workbookViewId="0"/>
  </sheetViews>
  <sheetFormatPr defaultRowHeight="15" x14ac:dyDescent="0.25"/>
  <cols>
    <col min="1" max="1" style="5" width="8.005" customWidth="1" bestFit="1"/>
    <col min="2" max="2" style="5" width="16.005" customWidth="1" bestFit="1"/>
    <col min="3" max="3" style="5" width="18.005" customWidth="1" bestFit="1"/>
    <col min="4" max="4" style="5" width="36.005" customWidth="1" bestFit="1"/>
    <col min="5" max="5" style="5" width="36.005" customWidth="1" bestFit="1"/>
    <col min="6" max="6" style="5" width="16.005" customWidth="1" bestFit="1"/>
    <col min="7" max="7" style="5" width="16.005" customWidth="1" bestFit="1"/>
    <col min="8" max="8" style="5" width="28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8.75" customFormat="1" s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/>
    </row>
    <row x14ac:dyDescent="0.25" r="3" customHeight="1" ht="18.75" customFormat="1" s="1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14</v>
      </c>
      <c r="H3" s="4"/>
    </row>
    <row x14ac:dyDescent="0.25" r="4" customHeight="1" ht="18.75" customFormat="1" s="1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14</v>
      </c>
      <c r="H4" s="3" t="s">
        <v>27</v>
      </c>
    </row>
    <row x14ac:dyDescent="0.25" r="5" customHeight="1" ht="18.75" customFormat="1" s="1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26</v>
      </c>
      <c r="G5" s="4" t="s">
        <v>14</v>
      </c>
      <c r="H5" s="4" t="s">
        <v>33</v>
      </c>
    </row>
    <row x14ac:dyDescent="0.25" r="6" customHeight="1" ht="18.75" customFormat="1" s="1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13</v>
      </c>
      <c r="G6" s="3" t="s">
        <v>14</v>
      </c>
      <c r="H6" s="3" t="s">
        <v>39</v>
      </c>
    </row>
    <row x14ac:dyDescent="0.25" r="7" customHeight="1" ht="18.75" customFormat="1" s="1">
      <c r="A7" s="4" t="s">
        <v>40</v>
      </c>
      <c r="B7" s="4" t="s">
        <v>41</v>
      </c>
      <c r="C7" s="4" t="s">
        <v>42</v>
      </c>
      <c r="D7" s="4" t="s">
        <v>43</v>
      </c>
      <c r="E7" s="4" t="s">
        <v>44</v>
      </c>
      <c r="F7" s="4" t="s">
        <v>45</v>
      </c>
      <c r="G7" s="4" t="s">
        <v>14</v>
      </c>
      <c r="H7" s="4" t="s">
        <v>46</v>
      </c>
    </row>
    <row x14ac:dyDescent="0.25" r="8" customHeight="1" ht="18.75" customFormat="1" s="1">
      <c r="A8" s="3"/>
      <c r="B8" s="3"/>
      <c r="C8" s="3"/>
      <c r="D8" s="3"/>
      <c r="E8" s="3"/>
      <c r="F8" s="3"/>
      <c r="G8" s="3"/>
      <c r="H8" s="3"/>
    </row>
    <row x14ac:dyDescent="0.25" r="9" customHeight="1" ht="18.75" customFormat="1" s="1">
      <c r="A9" s="4"/>
      <c r="B9" s="4"/>
      <c r="C9" s="4"/>
      <c r="D9" s="4"/>
      <c r="E9" s="4"/>
      <c r="F9" s="4"/>
      <c r="G9" s="4"/>
      <c r="H9" s="4"/>
    </row>
    <row x14ac:dyDescent="0.25" r="10" customHeight="1" ht="18.75" customFormat="1" s="1">
      <c r="A10" s="3"/>
      <c r="B10" s="3"/>
      <c r="C10" s="3"/>
      <c r="D10" s="3"/>
      <c r="E10" s="3"/>
      <c r="F10" s="3"/>
      <c r="G10" s="3"/>
      <c r="H10" s="3"/>
    </row>
    <row x14ac:dyDescent="0.25" r="11" customHeight="1" ht="18.75" customFormat="1" s="1">
      <c r="A11" s="4"/>
      <c r="B11" s="4"/>
      <c r="C11" s="4"/>
      <c r="D11" s="4"/>
      <c r="E11" s="4"/>
      <c r="F11" s="4"/>
      <c r="G11" s="4"/>
      <c r="H11" s="4"/>
    </row>
    <row x14ac:dyDescent="0.25" r="12" customHeight="1" ht="18.75" customFormat="1" s="1">
      <c r="A12" s="3"/>
      <c r="B12" s="3"/>
      <c r="C12" s="3"/>
      <c r="D12" s="3"/>
      <c r="E12" s="3"/>
      <c r="F12" s="3"/>
      <c r="G12" s="3"/>
      <c r="H12" s="3"/>
    </row>
    <row x14ac:dyDescent="0.25" r="13" customHeight="1" ht="18.75" customFormat="1" s="1">
      <c r="A13" s="4"/>
      <c r="B13" s="4"/>
      <c r="C13" s="4"/>
      <c r="D13" s="4"/>
      <c r="E13" s="4"/>
      <c r="F13" s="4"/>
      <c r="G13" s="4"/>
      <c r="H13" s="4"/>
    </row>
    <row x14ac:dyDescent="0.25" r="14" customHeight="1" ht="18.75" customFormat="1" s="1">
      <c r="A14" s="3"/>
      <c r="B14" s="3"/>
      <c r="C14" s="3"/>
      <c r="D14" s="3"/>
      <c r="E14" s="3"/>
      <c r="F14" s="3"/>
      <c r="G14" s="3"/>
      <c r="H14" s="3"/>
    </row>
    <row x14ac:dyDescent="0.25" r="15" customHeight="1" ht="18.75" customFormat="1" s="1">
      <c r="A15" s="4"/>
      <c r="B15" s="4"/>
      <c r="C15" s="4"/>
      <c r="D15" s="4"/>
      <c r="E15" s="4"/>
      <c r="F15" s="4"/>
      <c r="G15" s="4"/>
      <c r="H15" s="4"/>
    </row>
    <row x14ac:dyDescent="0.25" r="16" customHeight="1" ht="18.75" customFormat="1" s="1">
      <c r="A16" s="3"/>
      <c r="B16" s="3"/>
      <c r="C16" s="3"/>
      <c r="D16" s="3"/>
      <c r="E16" s="3"/>
      <c r="F16" s="3"/>
      <c r="G16" s="3"/>
      <c r="H16" s="3"/>
    </row>
    <row x14ac:dyDescent="0.25" r="17" customHeight="1" ht="18.75" customFormat="1" s="1">
      <c r="A17" s="4"/>
      <c r="B17" s="4"/>
      <c r="C17" s="4"/>
      <c r="D17" s="4"/>
      <c r="E17" s="4"/>
      <c r="F17" s="4"/>
      <c r="G17" s="4"/>
      <c r="H17" s="4"/>
    </row>
    <row x14ac:dyDescent="0.25" r="18" customHeight="1" ht="18.75" customFormat="1" s="1">
      <c r="A18" s="3"/>
      <c r="B18" s="3"/>
      <c r="C18" s="3"/>
      <c r="D18" s="3"/>
      <c r="E18" s="3"/>
      <c r="F18" s="3"/>
      <c r="G18" s="3"/>
      <c r="H18" s="3"/>
    </row>
    <row x14ac:dyDescent="0.25" r="19" customHeight="1" ht="18.75" customFormat="1" s="1">
      <c r="A19" s="4"/>
      <c r="B19" s="4"/>
      <c r="C19" s="4"/>
      <c r="D19" s="4"/>
      <c r="E19" s="4"/>
      <c r="F19" s="4"/>
      <c r="G19" s="4"/>
      <c r="H19" s="4"/>
    </row>
    <row x14ac:dyDescent="0.25" r="20" customHeight="1" ht="18.75" customFormat="1" s="1">
      <c r="A20" s="3"/>
      <c r="B20" s="3"/>
      <c r="C20" s="3"/>
      <c r="D20" s="3"/>
      <c r="E20" s="3"/>
      <c r="F20" s="3"/>
      <c r="G20" s="3"/>
      <c r="H20" s="3"/>
    </row>
    <row x14ac:dyDescent="0.25" r="21" customHeight="1" ht="18.75" customFormat="1" s="1">
      <c r="A21" s="4"/>
      <c r="B21" s="4"/>
      <c r="C21" s="4"/>
      <c r="D21" s="4"/>
      <c r="E21" s="4"/>
      <c r="F21" s="4"/>
      <c r="G21" s="4"/>
      <c r="H21" s="4"/>
    </row>
    <row x14ac:dyDescent="0.25" r="22" customHeight="1" ht="18.75" customFormat="1" s="1">
      <c r="A22" s="3"/>
      <c r="B22" s="3"/>
      <c r="C22" s="3"/>
      <c r="D22" s="3"/>
      <c r="E22" s="3"/>
      <c r="F22" s="3"/>
      <c r="G22" s="3"/>
      <c r="H22" s="3"/>
    </row>
    <row x14ac:dyDescent="0.25" r="23" customHeight="1" ht="18.75" customFormat="1" s="1">
      <c r="A23" s="4"/>
      <c r="B23" s="4"/>
      <c r="C23" s="4"/>
      <c r="D23" s="4"/>
      <c r="E23" s="4"/>
      <c r="F23" s="4"/>
      <c r="G23" s="4"/>
      <c r="H23" s="4"/>
    </row>
    <row x14ac:dyDescent="0.25" r="24" customHeight="1" ht="18.75" customFormat="1" s="1">
      <c r="A24" s="3"/>
      <c r="B24" s="3"/>
      <c r="C24" s="3"/>
      <c r="D24" s="3"/>
      <c r="E24" s="3"/>
      <c r="F24" s="3"/>
      <c r="G24" s="3"/>
      <c r="H24" s="3"/>
    </row>
    <row x14ac:dyDescent="0.25" r="25" customHeight="1" ht="18.75" customFormat="1" s="1">
      <c r="A25" s="4"/>
      <c r="B25" s="4"/>
      <c r="C25" s="4"/>
      <c r="D25" s="4"/>
      <c r="E25" s="4"/>
      <c r="F25" s="4"/>
      <c r="G25" s="4"/>
      <c r="H25" s="4"/>
    </row>
    <row x14ac:dyDescent="0.25" r="26" customHeight="1" ht="18.75" customFormat="1" s="1">
      <c r="A26" s="3"/>
      <c r="B26" s="3"/>
      <c r="C26" s="3"/>
      <c r="D26" s="3"/>
      <c r="E26" s="3"/>
      <c r="F26" s="3"/>
      <c r="G26" s="3"/>
      <c r="H26" s="3"/>
    </row>
    <row x14ac:dyDescent="0.25" r="27" customHeight="1" ht="18.75" customFormat="1" s="1">
      <c r="A27" s="4"/>
      <c r="B27" s="4"/>
      <c r="C27" s="4"/>
      <c r="D27" s="4"/>
      <c r="E27" s="4"/>
      <c r="F27" s="4"/>
      <c r="G27" s="4"/>
      <c r="H27" s="4"/>
    </row>
    <row x14ac:dyDescent="0.25" r="28" customHeight="1" ht="18.75" customFormat="1" s="1">
      <c r="A28" s="3"/>
      <c r="B28" s="3"/>
      <c r="C28" s="3"/>
      <c r="D28" s="3"/>
      <c r="E28" s="3"/>
      <c r="F28" s="3"/>
      <c r="G28" s="3"/>
      <c r="H28" s="3"/>
    </row>
    <row x14ac:dyDescent="0.25" r="29" customHeight="1" ht="18.75" customFormat="1" s="1">
      <c r="A29" s="4"/>
      <c r="B29" s="4"/>
      <c r="C29" s="4"/>
      <c r="D29" s="4"/>
      <c r="E29" s="4"/>
      <c r="F29" s="4"/>
      <c r="G29" s="4"/>
      <c r="H29" s="4"/>
    </row>
    <row x14ac:dyDescent="0.25" r="30" customHeight="1" ht="18.75" customFormat="1" s="1">
      <c r="A30" s="3"/>
      <c r="B30" s="3"/>
      <c r="C30" s="3"/>
      <c r="D30" s="3"/>
      <c r="E30" s="3"/>
      <c r="F30" s="3"/>
      <c r="G30" s="3"/>
      <c r="H30" s="3"/>
    </row>
    <row x14ac:dyDescent="0.25" r="31" customHeight="1" ht="18.75" customFormat="1" s="1">
      <c r="A31" s="4"/>
      <c r="B31" s="4"/>
      <c r="C31" s="4"/>
      <c r="D31" s="4"/>
      <c r="E31" s="4"/>
      <c r="F31" s="4"/>
      <c r="G31" s="4"/>
      <c r="H31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32</vt:i4>
      </vt:variant>
    </vt:vector>
  </HeadingPairs>
  <TitlesOfParts>
    <vt:vector baseType="lpstr" size="32">
      <vt:lpstr>README</vt:lpstr>
      <vt:lpstr>Master_Experiments</vt:lpstr>
      <vt:lpstr>Experiment_Definitions</vt:lpstr>
      <vt:lpstr>Search_Spaces</vt:lpstr>
      <vt:lpstr>Study_Design</vt:lpstr>
      <vt:lpstr>Study_Rigor_Checklist</vt:lpstr>
      <vt:lpstr>Analysis_Plan</vt:lpstr>
      <vt:lpstr>Factors</vt:lpstr>
      <vt:lpstr>Fixed_Controls</vt:lpstr>
      <vt:lpstr>Constraints</vt:lpstr>
      <vt:lpstr>Blocking_and_Replication</vt:lpstr>
      <vt:lpstr>Generated_Design_Matrix</vt:lpstr>
      <vt:lpstr>Effect_Summaries</vt:lpstr>
      <vt:lpstr>Study_Review</vt:lpstr>
      <vt:lpstr>Artifact_Registry</vt:lpstr>
      <vt:lpstr>Fixed_Configs</vt:lpstr>
      <vt:lpstr>Objectives</vt:lpstr>
      <vt:lpstr>Machine_Status</vt:lpstr>
      <vt:lpstr>Trial_Results</vt:lpstr>
      <vt:lpstr>Summary_Outputs</vt:lpstr>
      <vt:lpstr>Data_Selection_Design</vt:lpstr>
      <vt:lpstr>Grouping_Strategy_Map</vt:lpstr>
      <vt:lpstr>Data_Profile</vt:lpstr>
      <vt:lpstr>Run_Log</vt:lpstr>
      <vt:lpstr>Decision_Log</vt:lpstr>
      <vt:lpstr>Confirmatory_Set</vt:lpstr>
      <vt:lpstr>Thesis_Map</vt:lpstr>
      <vt:lpstr>Dictionary_Validation</vt:lpstr>
      <vt:lpstr>Dashboard</vt:lpstr>
      <vt:lpstr>Claim_Ledger</vt:lpstr>
      <vt:lpstr>AI_Usage_Log</vt:lpstr>
      <vt:lpstr>Ethics_Governance_Notes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2026-03-24T09:43:20.554Z</dcterms:created>
  <dcterms:modified xsi:type="dcterms:W3CDTF">2026-03-24T09:43:20.554Z</dcterms:modified>
</cp:coreProperties>
</file>