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Experiments" sheetId="2" state="visible" r:id="rId2"/>
    <sheet name="Run_Log" sheetId="3" state="visible" r:id="rId3"/>
    <sheet name="Decision_Log" sheetId="4" state="visible" r:id="rId4"/>
    <sheet name="Confirmatory_Set" sheetId="5" state="visible" r:id="rId5"/>
    <sheet name="Thesis_Map" sheetId="6" state="visible" r:id="rId6"/>
    <sheet name="Dictionary_Validation" sheetId="7" state="visible" r:id="rId7"/>
    <sheet name="Dashboard" sheetId="8" state="visible" r:id="rId8"/>
  </sheets>
  <definedNames>
    <definedName name="List_Category">'Dictionary_Validation'!$A$3:$A$9</definedName>
    <definedName name="List_Evidential_Role">'Dictionary_Validation'!$B$3:$B$7</definedName>
    <definedName name="List_Stage">'Dictionary_Validation'!$C$3:$C$8</definedName>
    <definedName name="List_Priority">'Dictionary_Validation'!$D$3:$D$6</definedName>
    <definedName name="List_Status">'Dictionary_Validation'!$E$3:$E$8</definedName>
    <definedName name="List_Reporting_Destination">'Dictionary_Validation'!$F$3:$F$7</definedName>
    <definedName name="List_Reviewed">'Dictionary_Validation'!$G$3:$G$4</definedName>
    <definedName name="List_Used_in_Thesis">'Dictionary_Validation'!$H$3:$H$4</definedName>
    <definedName name="List_Freeze_Status">'Dictionary_Validation'!$I$3:$I$4</definedName>
    <definedName name="_xlnm._FilterDatabase" localSheetId="1" hidden="1">'Master_Experiments'!$A$1:$AF$20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2"/>
    </font>
    <font>
      <b val="1"/>
      <sz val="15"/>
    </font>
    <font>
      <i val="1"/>
      <color rgb="004B5563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3FB"/>
      </patternFill>
    </fill>
    <fill>
      <patternFill patternType="solid">
        <fgColor rgb="00FFF8E1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0" applyAlignment="1" pivotButton="0" quotePrefix="0" xfId="0">
      <alignment vertical="top"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4" fillId="2" borderId="0" pivotButton="0" quotePrefix="0" xfId="0"/>
    <xf numFmtId="0" fontId="3" fillId="5" borderId="0" pivotButton="0" quotePrefix="0" xfId="0"/>
    <xf numFmtId="0" fontId="0" fillId="6" borderId="1" pivotButton="0" quotePrefix="0" xfId="0"/>
    <xf numFmtId="0" fontId="5" fillId="2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ont>
        <i val="1"/>
        <color rgb="006E6E6E"/>
      </font>
      <fill>
        <patternFill patternType="solid">
          <fgColor rgb="00E7E6E6"/>
        </patternFill>
      </fill>
    </dxf>
    <dxf>
      <fill>
        <patternFill patternType="solid">
          <fgColor rgb="00FBE5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RunLogTable" displayName="RunLogTable" ref="A1:V31" headerRowCount="1">
  <autoFilter ref="A1:V31"/>
  <tableColumns count="22">
    <tableColumn id="1" name="Run_ID"/>
    <tableColumn id="2" name="Experiment_ID"/>
    <tableColumn id="3" name="Run_Date"/>
    <tableColumn id="4" name="Dataset_Name"/>
    <tableColumn id="5" name="Data_Subset"/>
    <tableColumn id="6" name="Code_Commit_or_Version"/>
    <tableColumn id="7" name="Config_File_or_Path"/>
    <tableColumn id="8" name="Random_Seed"/>
    <tableColumn id="9" name="Target"/>
    <tableColumn id="10" name="Split_ID_or_Fold_Definition"/>
    <tableColumn id="11" name="Model"/>
    <tableColumn id="12" name="Feature_Set"/>
    <tableColumn id="13" name="Primary_Metric_Value"/>
    <tableColumn id="14" name="Secondary_Metric_1"/>
    <tableColumn id="15" name="Secondary_Metric_2"/>
    <tableColumn id="16" name="Robustness_Output_Summary"/>
    <tableColumn id="17" name="Result_Summary"/>
    <tableColumn id="18" name="Preliminary_Interpretation"/>
    <tableColumn id="19" name="Reviewed"/>
    <tableColumn id="20" name="Used_in_Thesis"/>
    <tableColumn id="21" name="Artifact_Path"/>
    <tableColumn id="22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cisionLogTable" displayName="DecisionLogTable" ref="A1:L9" headerRowCount="1">
  <autoFilter ref="A1:L9"/>
  <tableColumns count="12">
    <tableColumn id="1" name="Decision_ID"/>
    <tableColumn id="2" name="Decision_Topic"/>
    <tableColumn id="3" name="Stage"/>
    <tableColumn id="4" name="Candidate_Options"/>
    <tableColumn id="5" name="Evidence_Experiments"/>
    <tableColumn id="6" name="Chosen_Option"/>
    <tableColumn id="7" name="Why_Chosen"/>
    <tableColumn id="8" name="Why_Not_Others"/>
    <tableColumn id="9" name="Risks_or_Tradeoffs"/>
    <tableColumn id="10" name="Date_Locked"/>
    <tableColumn id="11" name="Freeze_Status"/>
    <tableColumn id="12" name="Thesis_Us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ConfirmatoryTable" displayName="ConfirmatoryTable" ref="A1:I6" headerRowCount="1">
  <autoFilter ref="A1:I6"/>
  <tableColumns count="9">
    <tableColumn id="1" name="Experiment_ID"/>
    <tableColumn id="2" name="Short_Title"/>
    <tableColumn id="3" name="Final_Pipeline_Version"/>
    <tableColumn id="4" name="Claim_Supported"/>
    <tableColumn id="5" name="Status"/>
    <tableColumn id="6" name="Main_Result_Summary"/>
    <tableColumn id="7" name="Robustness_Status"/>
    <tableColumn id="8" name="Ready_for_Chapter_4"/>
    <tableColumn id="9" name="Confirmatory_Eligible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ThesisMapTable" displayName="ThesisMapTable" ref="A1:H20" headerRowCount="1">
  <autoFilter ref="A1:H20"/>
  <tableColumns count="8">
    <tableColumn id="1" name="Experiment_ID"/>
    <tableColumn id="2" name="Chapter"/>
    <tableColumn id="3" name="Section"/>
    <tableColumn id="4" name="Purpose_in_Thesis"/>
    <tableColumn id="5" name="Main_or_Supporting"/>
    <tableColumn id="6" name="Method_Choice_or_Method_Application_or_Discussion"/>
    <tableColumn id="7" name="What_Claim_or_Decision_It_Supports"/>
    <tableColumn id="8" name="Notes_for_Writing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Thesis Experiment Program Workbook</t>
        </is>
      </c>
    </row>
    <row r="3">
      <c r="A3" s="2" t="inlineStr">
        <is>
          <t>Purpose</t>
        </is>
      </c>
      <c r="B3" s="3" t="inlineStr">
        <is>
          <t>Scientific control workbook for pre-interpretation experiment specification, traceable decision locking, leakage-aware execution, and thesis reporting alignment.</t>
        </is>
      </c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6">
      <c r="A6" s="2" t="inlineStr">
        <is>
          <t>Rules of use</t>
        </is>
      </c>
      <c r="B6" s="3" t="inlineStr">
        <is>
          <t>One exact question per experiment. One manipulated factor unless justified. Define split logic and leakage controls before running. No interpretation before criteria are specified.</t>
        </is>
      </c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9">
      <c r="A9" s="2" t="inlineStr">
        <is>
          <t>Evidential tiers</t>
        </is>
      </c>
      <c r="B9" s="3" t="inlineStr">
        <is>
          <t>Primary confirmatory; Primary-supporting robustness; Secondary decision-support; Exploratory extension.</t>
        </is>
      </c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2">
      <c r="A12" s="2" t="inlineStr">
        <is>
          <t>Freeze policy</t>
        </is>
      </c>
      <c r="B12" s="3" t="inlineStr">
        <is>
          <t>Confirmatory claims require locked decisions (target, split, model, weighting, tuning, feature representation, scaling) in Decision_Log.</t>
        </is>
      </c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5">
      <c r="A15" s="2" t="inlineStr">
        <is>
          <t>Color legend</t>
        </is>
      </c>
      <c r="B15" s="3" t="inlineStr">
        <is>
          <t>Green: confirmatory/locked/YES. Orange: exploratory/open. Yellow: critical priority. Gray: dropped. Red: missing required setup.</t>
        </is>
      </c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8">
      <c r="A18" s="2" t="inlineStr">
        <is>
          <t>Workflow</t>
        </is>
      </c>
      <c r="B18" s="3" t="inlineStr">
        <is>
          <t>Master_Experiments -&gt; Run_Log -&gt; Decision_Log -&gt; Confirmatory_Set -&gt; Thesis_Map -&gt; Dashboard.</t>
        </is>
      </c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2">
      <c r="A22" s="5" t="inlineStr">
        <is>
          <t>Use this workbook as the single source of truth for thesis experiment planning, locking, and chapter mapping.</t>
        </is>
      </c>
    </row>
    <row r="23"/>
    <row r="25">
      <c r="A25" s="6" t="inlineStr">
        <is>
          <t>Generated by create_thesis_experiment_workbook.py</t>
        </is>
      </c>
    </row>
  </sheetData>
  <mergeCells count="8">
    <mergeCell ref="A22:H23"/>
    <mergeCell ref="B6:H7"/>
    <mergeCell ref="B9:H10"/>
    <mergeCell ref="B18:H19"/>
    <mergeCell ref="B3:H4"/>
    <mergeCell ref="B12:H13"/>
    <mergeCell ref="A1:H1"/>
    <mergeCell ref="B15:H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32" customWidth="1" min="4" max="4"/>
    <col width="22" customWidth="1" min="5" max="5"/>
    <col width="10" customWidth="1" min="6" max="6"/>
    <col width="24" customWidth="1" min="7" max="7"/>
    <col width="46" customWidth="1" min="8" max="8"/>
    <col width="34" customWidth="1" min="9" max="9"/>
    <col width="24" customWidth="1" min="10" max="10"/>
    <col width="40" customWidth="1" min="11" max="11"/>
    <col width="28" customWidth="1" min="12" max="12"/>
    <col width="28" customWidth="1" min="13" max="13"/>
    <col width="34" customWidth="1" min="14" max="14"/>
    <col width="24" customWidth="1" min="15" max="15"/>
    <col width="36" customWidth="1" min="16" max="16"/>
    <col width="24" customWidth="1" min="17" max="17"/>
    <col width="18" customWidth="1" min="18" max="18"/>
    <col width="24" customWidth="1" min="19" max="19"/>
    <col width="36" customWidth="1" min="20" max="20"/>
    <col width="34" customWidth="1" min="21" max="21"/>
    <col width="34" customWidth="1" min="22" max="22"/>
    <col width="34" customWidth="1" min="23" max="23"/>
    <col width="34" customWidth="1" min="24" max="24"/>
    <col width="30" customWidth="1" min="25" max="25"/>
    <col width="36" customWidth="1" min="26" max="26"/>
    <col width="14" customWidth="1" min="27" max="27"/>
    <col width="18" customWidth="1" min="28" max="28"/>
    <col width="32" customWidth="1" min="29" max="29"/>
    <col width="28" customWidth="1" min="30" max="30"/>
    <col width="32" customWidth="1" min="31" max="31"/>
    <col width="16" customWidth="1" min="32" max="32"/>
  </cols>
  <sheetData>
    <row r="1">
      <c r="A1" s="7" t="inlineStr">
        <is>
          <t>Experiment_ID</t>
        </is>
      </c>
      <c r="B1" s="7" t="inlineStr">
        <is>
          <t>Short_Title</t>
        </is>
      </c>
      <c r="C1" s="7" t="inlineStr">
        <is>
          <t>Category</t>
        </is>
      </c>
      <c r="D1" s="7" t="inlineStr">
        <is>
          <t>Evidential_Role</t>
        </is>
      </c>
      <c r="E1" s="7" t="inlineStr">
        <is>
          <t>Stage</t>
        </is>
      </c>
      <c r="F1" s="7" t="inlineStr">
        <is>
          <t>Priority</t>
        </is>
      </c>
      <c r="G1" s="7" t="inlineStr">
        <is>
          <t>Decision_Supported</t>
        </is>
      </c>
      <c r="H1" s="7" t="inlineStr">
        <is>
          <t>Exact_Question</t>
        </is>
      </c>
      <c r="I1" s="7" t="inlineStr">
        <is>
          <t>Hypothesis_or_Expectation</t>
        </is>
      </c>
      <c r="J1" s="7" t="inlineStr">
        <is>
          <t>Manipulated_Factor</t>
        </is>
      </c>
      <c r="K1" s="7" t="inlineStr">
        <is>
          <t>Held_Constant_Controls</t>
        </is>
      </c>
      <c r="L1" s="7" t="inlineStr">
        <is>
          <t>Dataset_Scope</t>
        </is>
      </c>
      <c r="M1" s="7" t="inlineStr">
        <is>
          <t>Target_Definition</t>
        </is>
      </c>
      <c r="N1" s="7" t="inlineStr">
        <is>
          <t>Split_Logic</t>
        </is>
      </c>
      <c r="O1" s="7" t="inlineStr">
        <is>
          <t>Leakage_Risk</t>
        </is>
      </c>
      <c r="P1" s="7" t="inlineStr">
        <is>
          <t>Leakage_Control</t>
        </is>
      </c>
      <c r="Q1" s="7" t="inlineStr">
        <is>
          <t>Models_Compared</t>
        </is>
      </c>
      <c r="R1" s="7" t="inlineStr">
        <is>
          <t>Primary_Metric</t>
        </is>
      </c>
      <c r="S1" s="7" t="inlineStr">
        <is>
          <t>Secondary_Metrics</t>
        </is>
      </c>
      <c r="T1" s="7" t="inlineStr">
        <is>
          <t>Robustness_Checks</t>
        </is>
      </c>
      <c r="U1" s="7" t="inlineStr">
        <is>
          <t>Decision_Criterion</t>
        </is>
      </c>
      <c r="V1" s="7" t="inlineStr">
        <is>
          <t>Success_Pattern</t>
        </is>
      </c>
      <c r="W1" s="7" t="inlineStr">
        <is>
          <t>Failure_or_Warning_Pattern</t>
        </is>
      </c>
      <c r="X1" s="7" t="inlineStr">
        <is>
          <t>Threats_to_Validity</t>
        </is>
      </c>
      <c r="Y1" s="7" t="inlineStr">
        <is>
          <t>Reporting_Destination</t>
        </is>
      </c>
      <c r="Z1" s="7" t="inlineStr">
        <is>
          <t>Interpretation_Boundary</t>
        </is>
      </c>
      <c r="AA1" s="7" t="inlineStr">
        <is>
          <t>Status</t>
        </is>
      </c>
      <c r="AB1" s="7" t="inlineStr">
        <is>
          <t>Owner</t>
        </is>
      </c>
      <c r="AC1" s="7" t="inlineStr">
        <is>
          <t>Outcome_Summary</t>
        </is>
      </c>
      <c r="AD1" s="7" t="inlineStr">
        <is>
          <t>Decision_Taken</t>
        </is>
      </c>
      <c r="AE1" s="7" t="inlineStr">
        <is>
          <t>Notes</t>
        </is>
      </c>
      <c r="AF1" s="7" t="inlineStr">
        <is>
          <t>Experiment_Ready</t>
        </is>
      </c>
    </row>
    <row r="2">
      <c r="A2" s="8" t="inlineStr">
        <is>
          <t>E01</t>
        </is>
      </c>
      <c r="B2" s="8" t="inlineStr">
        <is>
          <t>Target granularity experiment</t>
        </is>
      </c>
      <c r="C2" s="8" t="inlineStr">
        <is>
          <t>Target-definition</t>
        </is>
      </c>
      <c r="D2" s="8" t="inlineStr">
        <is>
          <t>Secondary decision-support</t>
        </is>
      </c>
      <c r="E2" s="8" t="inlineStr">
        <is>
          <t>Stage 1 - Method choice</t>
        </is>
      </c>
      <c r="F2" s="8" t="inlineStr">
        <is>
          <t>High</t>
        </is>
      </c>
      <c r="G2" s="8" t="inlineStr">
        <is>
          <t>Final target lock</t>
        </is>
      </c>
      <c r="H2" s="8" t="inlineStr">
        <is>
          <t>Should the thesis use fine-grained emotion labels, three-class coarse affect, or binary valence-like labels?</t>
        </is>
      </c>
      <c r="I2" s="8" t="inlineStr">
        <is>
          <t>coarse_affect likely balances construct validity, class balance, and learnability.</t>
        </is>
      </c>
      <c r="J2" s="8" t="inlineStr">
        <is>
          <t>Target definition</t>
        </is>
      </c>
      <c r="K2" s="8" t="inlineStr">
        <is>
          <t>Data index version, preprocessing order, metric definitions, seed policy.</t>
        </is>
      </c>
      <c r="L2" s="8" t="inlineStr">
        <is>
          <t>Internal repeated-session BAS2 dataset (sub-001, sub-002) unless explicitly external.</t>
        </is>
      </c>
      <c r="M2" s="8" t="inlineStr">
        <is>
          <t>fine emotion vs coarse_affect vs binary valence-like</t>
        </is>
      </c>
      <c r="N2" s="8" t="inlineStr">
        <is>
          <t>within_subject_loso_session (primary) with frozen transfer as secondary stress context.</t>
        </is>
      </c>
      <c r="O2" s="8" t="inlineStr">
        <is>
          <t>Performance inflation if split logic or fit scope leaks train-test information.</t>
        </is>
      </c>
      <c r="P2" s="8" t="inlineStr">
        <is>
          <t>Use explicit split manifests and train-only fitting; frozen transfer for cross-person runs.</t>
        </is>
      </c>
      <c r="Q2" s="8" t="inlineStr">
        <is>
          <t>ridge fixed baseline.</t>
        </is>
      </c>
      <c r="R2" s="8" t="inlineStr">
        <is>
          <t>Balanced accuracy</t>
        </is>
      </c>
      <c r="S2" s="8" t="inlineStr">
        <is>
          <t>Macro-F1; class-wise recall; accuracy</t>
        </is>
      </c>
      <c r="T2" s="8" t="inlineStr">
        <is>
          <t>Fold-level stability checks and leakage stress checks where relevant.</t>
        </is>
      </c>
      <c r="U2" s="8" t="inlineStr">
        <is>
          <t>Prefer target balancing construct validity, class balance, sample sufficiency, and learnability under claim-matched evaluation.</t>
        </is>
      </c>
      <c r="V2" s="8" t="inlineStr">
        <is>
          <t>Stable claim-matched behavior with no leakage indicators.</t>
        </is>
      </c>
      <c r="W2" s="8" t="inlineStr">
        <is>
          <t>Weak-split inflation, instability, or minority-class collapse.</t>
        </is>
      </c>
      <c r="X2" s="8" t="inlineStr">
        <is>
          <t>Small sample size, class imbalance, domain shift, and model sensitivity.</t>
        </is>
      </c>
      <c r="Y2" s="8" t="inlineStr">
        <is>
          <t>Chapter 3 Method choice</t>
        </is>
      </c>
      <c r="Z2" s="8" t="inlineStr">
        <is>
          <t>Interpret only within the specified split logic and evidence tier.</t>
        </is>
      </c>
      <c r="AA2" s="8" t="inlineStr">
        <is>
          <t>Planned</t>
        </is>
      </c>
      <c r="AB2" s="8" t="inlineStr">
        <is>
          <t>Khaled (thesis author)</t>
        </is>
      </c>
      <c r="AC2" s="8" t="inlineStr"/>
      <c r="AD2" s="8" t="inlineStr"/>
      <c r="AE2" s="8" t="inlineStr"/>
      <c r="AF2" s="8">
        <f>IF($AA2="Dropped","N/A",IF(AND($H2&lt;&gt;"",$J2&lt;&gt;"",$K2&lt;&gt;"",$M2&lt;&gt;"",$N2&lt;&gt;"",$P2&lt;&gt;"",$Q2&lt;&gt;"",$Y2&lt;&gt;""),"READY","INCOMPLETE"))</f>
        <v/>
      </c>
    </row>
    <row r="3">
      <c r="A3" s="3" t="inlineStr">
        <is>
          <t>E02</t>
        </is>
      </c>
      <c r="B3" s="3" t="inlineStr">
        <is>
          <t>Task pooling experiment</t>
        </is>
      </c>
      <c r="C3" s="3" t="inlineStr">
        <is>
          <t>Target-definition</t>
        </is>
      </c>
      <c r="D3" s="3" t="inlineStr">
        <is>
          <t>Secondary decision-support</t>
        </is>
      </c>
      <c r="E3" s="3" t="inlineStr">
        <is>
          <t>Stage 1 - Method choice</t>
        </is>
      </c>
      <c r="F3" s="3" t="inlineStr">
        <is>
          <t>Medium</t>
        </is>
      </c>
      <c r="G3" s="3" t="inlineStr">
        <is>
          <t>Task pooling policy</t>
        </is>
      </c>
      <c r="H3" s="3" t="inlineStr">
        <is>
          <t>Should the main target be learned across all tasks together, or separately by task?</t>
        </is>
      </c>
      <c r="I3" s="3" t="inlineStr">
        <is>
          <t>Evaluate under leakage-aware splits before interpretation.</t>
        </is>
      </c>
      <c r="J3" s="3" t="inlineStr">
        <is>
          <t>Pooling strategy by task</t>
        </is>
      </c>
      <c r="K3" s="3" t="inlineStr">
        <is>
          <t>Data index version, preprocessing order, metric definitions, seed policy.</t>
        </is>
      </c>
      <c r="L3" s="3" t="inlineStr">
        <is>
          <t>Internal repeated-session BAS2 dataset (sub-001, sub-002) unless explicitly external.</t>
        </is>
      </c>
      <c r="M3" s="3" t="inlineStr">
        <is>
          <t>coarse_affect unless this experiment manipulates target definition.</t>
        </is>
      </c>
      <c r="N3" s="3" t="inlineStr">
        <is>
          <t>Claim-matched leakage-safe split (within_subject_loso_session unless manipulated).</t>
        </is>
      </c>
      <c r="O3" s="3" t="inlineStr">
        <is>
          <t>Performance inflation if split logic or fit scope leaks train-test information.</t>
        </is>
      </c>
      <c r="P3" s="3" t="inlineStr">
        <is>
          <t>Use explicit split manifests and train-only fitting; frozen transfer for cross-person runs.</t>
        </is>
      </c>
      <c r="Q3" s="3" t="inlineStr">
        <is>
          <t>ridge baseline unless model family is manipulated.</t>
        </is>
      </c>
      <c r="R3" s="3" t="inlineStr">
        <is>
          <t>Balanced accuracy</t>
        </is>
      </c>
      <c r="S3" s="3" t="inlineStr">
        <is>
          <t>Macro-F1; class-wise recall; accuracy</t>
        </is>
      </c>
      <c r="T3" s="3" t="inlineStr">
        <is>
          <t>Fold-level stability checks and leakage stress checks where relevant.</t>
        </is>
      </c>
      <c r="U3" s="3" t="inlineStr">
        <is>
          <t>Pre-specified criterion set before interpretation.</t>
        </is>
      </c>
      <c r="V3" s="3" t="inlineStr">
        <is>
          <t>Stable claim-matched behavior with no leakage indicators.</t>
        </is>
      </c>
      <c r="W3" s="3" t="inlineStr">
        <is>
          <t>Weak-split inflation, instability, or minority-class collapse.</t>
        </is>
      </c>
      <c r="X3" s="3" t="inlineStr">
        <is>
          <t>Small sample size, class imbalance, domain shift, and model sensitivity.</t>
        </is>
      </c>
      <c r="Y3" s="3" t="inlineStr">
        <is>
          <t>Chapter 3 Method choice</t>
        </is>
      </c>
      <c r="Z3" s="3" t="inlineStr">
        <is>
          <t>Interpret only within the specified split logic and evidence tier.</t>
        </is>
      </c>
      <c r="AA3" s="3" t="inlineStr">
        <is>
          <t>Planned</t>
        </is>
      </c>
      <c r="AB3" s="3" t="inlineStr">
        <is>
          <t>Khaled (thesis author)</t>
        </is>
      </c>
      <c r="AC3" s="3" t="inlineStr"/>
      <c r="AD3" s="3" t="inlineStr"/>
      <c r="AE3" s="3" t="inlineStr"/>
      <c r="AF3" s="3">
        <f>IF($AA3="Dropped","N/A",IF(AND($H3&lt;&gt;"",$J3&lt;&gt;"",$K3&lt;&gt;"",$M3&lt;&gt;"",$N3&lt;&gt;"",$P3&lt;&gt;"",$Q3&lt;&gt;"",$Y3&lt;&gt;""),"READY","INCOMPLETE"))</f>
        <v/>
      </c>
    </row>
    <row r="4">
      <c r="A4" s="8" t="inlineStr">
        <is>
          <t>E03</t>
        </is>
      </c>
      <c r="B4" s="8" t="inlineStr">
        <is>
          <t>Modality pooling experiment</t>
        </is>
      </c>
      <c r="C4" s="8" t="inlineStr">
        <is>
          <t>Target-definition</t>
        </is>
      </c>
      <c r="D4" s="8" t="inlineStr">
        <is>
          <t>Secondary decision-support</t>
        </is>
      </c>
      <c r="E4" s="8" t="inlineStr">
        <is>
          <t>Stage 1 - Method choice</t>
        </is>
      </c>
      <c r="F4" s="8" t="inlineStr">
        <is>
          <t>Medium</t>
        </is>
      </c>
      <c r="G4" s="8" t="inlineStr">
        <is>
          <t>Modality pooling policy</t>
        </is>
      </c>
      <c r="H4" s="8" t="inlineStr">
        <is>
          <t>Should audio, video, and audiovisual conditions be pooled or modeled separately?</t>
        </is>
      </c>
      <c r="I4" s="8" t="inlineStr">
        <is>
          <t>Evaluate under leakage-aware splits before interpretation.</t>
        </is>
      </c>
      <c r="J4" s="8" t="inlineStr">
        <is>
          <t>Pooling strategy by modality</t>
        </is>
      </c>
      <c r="K4" s="8" t="inlineStr">
        <is>
          <t>Data index version, preprocessing order, metric definitions, seed policy.</t>
        </is>
      </c>
      <c r="L4" s="8" t="inlineStr">
        <is>
          <t>Internal repeated-session BAS2 dataset (sub-001, sub-002) unless explicitly external.</t>
        </is>
      </c>
      <c r="M4" s="8" t="inlineStr">
        <is>
          <t>coarse_affect unless this experiment manipulates target definition.</t>
        </is>
      </c>
      <c r="N4" s="8" t="inlineStr">
        <is>
          <t>Claim-matched leakage-safe split (within_subject_loso_session unless manipulated).</t>
        </is>
      </c>
      <c r="O4" s="8" t="inlineStr">
        <is>
          <t>Performance inflation if split logic or fit scope leaks train-test information.</t>
        </is>
      </c>
      <c r="P4" s="8" t="inlineStr">
        <is>
          <t>Use explicit split manifests and train-only fitting; frozen transfer for cross-person runs.</t>
        </is>
      </c>
      <c r="Q4" s="8" t="inlineStr">
        <is>
          <t>ridge baseline unless model family is manipulated.</t>
        </is>
      </c>
      <c r="R4" s="8" t="inlineStr">
        <is>
          <t>Balanced accuracy</t>
        </is>
      </c>
      <c r="S4" s="8" t="inlineStr">
        <is>
          <t>Macro-F1; class-wise recall; accuracy</t>
        </is>
      </c>
      <c r="T4" s="8" t="inlineStr">
        <is>
          <t>Fold-level stability checks and leakage stress checks where relevant.</t>
        </is>
      </c>
      <c r="U4" s="8" t="inlineStr">
        <is>
          <t>Pre-specified criterion set before interpretation.</t>
        </is>
      </c>
      <c r="V4" s="8" t="inlineStr">
        <is>
          <t>Stable claim-matched behavior with no leakage indicators.</t>
        </is>
      </c>
      <c r="W4" s="8" t="inlineStr">
        <is>
          <t>Weak-split inflation, instability, or minority-class collapse.</t>
        </is>
      </c>
      <c r="X4" s="8" t="inlineStr">
        <is>
          <t>Small sample size, class imbalance, domain shift, and model sensitivity.</t>
        </is>
      </c>
      <c r="Y4" s="8" t="inlineStr">
        <is>
          <t>Chapter 3 Method choice</t>
        </is>
      </c>
      <c r="Z4" s="8" t="inlineStr">
        <is>
          <t>Interpret only within the specified split logic and evidence tier.</t>
        </is>
      </c>
      <c r="AA4" s="8" t="inlineStr">
        <is>
          <t>Planned</t>
        </is>
      </c>
      <c r="AB4" s="8" t="inlineStr">
        <is>
          <t>Khaled (thesis author)</t>
        </is>
      </c>
      <c r="AC4" s="8" t="inlineStr"/>
      <c r="AD4" s="8" t="inlineStr"/>
      <c r="AE4" s="8" t="inlineStr"/>
      <c r="AF4" s="8">
        <f>IF($AA4="Dropped","N/A",IF(AND($H4&lt;&gt;"",$J4&lt;&gt;"",$K4&lt;&gt;"",$M4&lt;&gt;"",$N4&lt;&gt;"",$P4&lt;&gt;"",$Q4&lt;&gt;"",$Y4&lt;&gt;""),"READY","INCOMPLETE"))</f>
        <v/>
      </c>
    </row>
    <row r="5">
      <c r="A5" s="3" t="inlineStr">
        <is>
          <t>E04</t>
        </is>
      </c>
      <c r="B5" s="3" t="inlineStr">
        <is>
          <t>Split-strength stress test</t>
        </is>
      </c>
      <c r="C5" s="3" t="inlineStr">
        <is>
          <t>Split-design</t>
        </is>
      </c>
      <c r="D5" s="3" t="inlineStr">
        <is>
          <t>Secondary decision-support</t>
        </is>
      </c>
      <c r="E5" s="3" t="inlineStr">
        <is>
          <t>Stage 1 - Method choice</t>
        </is>
      </c>
      <c r="F5" s="3" t="inlineStr">
        <is>
          <t>High</t>
        </is>
      </c>
      <c r="G5" s="3" t="inlineStr">
        <is>
          <t>Primary split policy</t>
        </is>
      </c>
      <c r="H5" s="3" t="inlineStr">
        <is>
          <t>How much do conclusions change under weaker split strategies compared with session-held-out evaluation?</t>
        </is>
      </c>
      <c r="I5" s="3" t="inlineStr">
        <is>
          <t>Evaluate under leakage-aware splits before interpretation.</t>
        </is>
      </c>
      <c r="J5" s="3" t="inlineStr">
        <is>
          <t>Split logic</t>
        </is>
      </c>
      <c r="K5" s="3" t="inlineStr">
        <is>
          <t>Data index version, preprocessing order, metric definitions, seed policy.</t>
        </is>
      </c>
      <c r="L5" s="3" t="inlineStr">
        <is>
          <t>Internal repeated-session BAS2 dataset (sub-001, sub-002) unless explicitly external.</t>
        </is>
      </c>
      <c r="M5" s="3" t="inlineStr">
        <is>
          <t>coarse_affect unless this experiment manipulates target definition.</t>
        </is>
      </c>
      <c r="N5" s="3" t="inlineStr">
        <is>
          <t>record-wise random split vs weaker grouped split vs within-person leave-one-session-out</t>
        </is>
      </c>
      <c r="O5" s="3" t="inlineStr">
        <is>
          <t>High under weak splits.</t>
        </is>
      </c>
      <c r="P5" s="3" t="inlineStr">
        <is>
          <t>Use explicit split manifests and train-only fitting; frozen transfer for cross-person runs.</t>
        </is>
      </c>
      <c r="Q5" s="3" t="inlineStr">
        <is>
          <t>ridge baseline unless model family is manipulated.</t>
        </is>
      </c>
      <c r="R5" s="3" t="inlineStr">
        <is>
          <t>Balanced accuracy</t>
        </is>
      </c>
      <c r="S5" s="3" t="inlineStr">
        <is>
          <t>Macro-F1; class-wise recall; accuracy</t>
        </is>
      </c>
      <c r="T5" s="3" t="inlineStr">
        <is>
          <t>Fold-level stability checks and leakage stress checks where relevant.</t>
        </is>
      </c>
      <c r="U5" s="3" t="inlineStr">
        <is>
          <t>Retain strictest split matching claim; weaker splits only as inflation demonstrations.</t>
        </is>
      </c>
      <c r="V5" s="3" t="inlineStr">
        <is>
          <t>Stable claim-matched behavior with no leakage indicators.</t>
        </is>
      </c>
      <c r="W5" s="3" t="inlineStr">
        <is>
          <t>Weak-split inflation, instability, or minority-class collapse.</t>
        </is>
      </c>
      <c r="X5" s="3" t="inlineStr">
        <is>
          <t>Small sample size, class imbalance, domain shift, and model sensitivity.</t>
        </is>
      </c>
      <c r="Y5" s="3" t="inlineStr">
        <is>
          <t>Chapter 3 Method choice</t>
        </is>
      </c>
      <c r="Z5" s="3" t="inlineStr">
        <is>
          <t>Interpret only within the specified split logic and evidence tier.</t>
        </is>
      </c>
      <c r="AA5" s="3" t="inlineStr">
        <is>
          <t>Planned</t>
        </is>
      </c>
      <c r="AB5" s="3" t="inlineStr">
        <is>
          <t>Khaled (thesis author)</t>
        </is>
      </c>
      <c r="AC5" s="3" t="inlineStr"/>
      <c r="AD5" s="3" t="inlineStr"/>
      <c r="AE5" s="3" t="inlineStr"/>
      <c r="AF5" s="3">
        <f>IF($AA5="Dropped","N/A",IF(AND($H5&lt;&gt;"",$J5&lt;&gt;"",$K5&lt;&gt;"",$M5&lt;&gt;"",$N5&lt;&gt;"",$P5&lt;&gt;"",$Q5&lt;&gt;"",$Y5&lt;&gt;""),"READY","INCOMPLETE"))</f>
        <v/>
      </c>
    </row>
    <row r="6">
      <c r="A6" s="8" t="inlineStr">
        <is>
          <t>E05</t>
        </is>
      </c>
      <c r="B6" s="8" t="inlineStr">
        <is>
          <t>Cross-person transfer design</t>
        </is>
      </c>
      <c r="C6" s="8" t="inlineStr">
        <is>
          <t>Split-design</t>
        </is>
      </c>
      <c r="D6" s="8" t="inlineStr">
        <is>
          <t>Secondary decision-support</t>
        </is>
      </c>
      <c r="E6" s="8" t="inlineStr">
        <is>
          <t>Stage 1 - Method choice</t>
        </is>
      </c>
      <c r="F6" s="8" t="inlineStr">
        <is>
          <t>High</t>
        </is>
      </c>
      <c r="G6" s="8" t="inlineStr">
        <is>
          <t>Cross-person framing</t>
        </is>
      </c>
      <c r="H6" s="8" t="inlineStr">
        <is>
          <t>How should cross-person generalization be framed and evaluated?</t>
        </is>
      </c>
      <c r="I6" s="8" t="inlineStr">
        <is>
          <t>Evaluate under leakage-aware splits before interpretation.</t>
        </is>
      </c>
      <c r="J6" s="8" t="inlineStr">
        <is>
          <t>Transfer protocol</t>
        </is>
      </c>
      <c r="K6" s="8" t="inlineStr">
        <is>
          <t>Data index version, preprocessing order, metric definitions, seed policy.</t>
        </is>
      </c>
      <c r="L6" s="8" t="inlineStr">
        <is>
          <t>Internal repeated-session BAS2 dataset (sub-001, sub-002) unless explicitly external.</t>
        </is>
      </c>
      <c r="M6" s="8" t="inlineStr">
        <is>
          <t>coarse_affect unless this experiment manipulates target definition.</t>
        </is>
      </c>
      <c r="N6" s="8" t="inlineStr">
        <is>
          <t>frozen train-on-A/test-on-B and reverse direction</t>
        </is>
      </c>
      <c r="O6" s="8" t="inlineStr">
        <is>
          <t>Performance inflation if split logic or fit scope leaks train-test information.</t>
        </is>
      </c>
      <c r="P6" s="8" t="inlineStr">
        <is>
          <t>Fit once on train subject only; no re-fit/re-tune on test subject.</t>
        </is>
      </c>
      <c r="Q6" s="8" t="inlineStr">
        <is>
          <t>ridge baseline unless model family is manipulated.</t>
        </is>
      </c>
      <c r="R6" s="8" t="inlineStr">
        <is>
          <t>Balanced accuracy</t>
        </is>
      </c>
      <c r="S6" s="8" t="inlineStr">
        <is>
          <t>Macro-F1; class-wise recall; accuracy</t>
        </is>
      </c>
      <c r="T6" s="8" t="inlineStr">
        <is>
          <t>Fold-level stability checks and leakage stress checks where relevant.</t>
        </is>
      </c>
      <c r="U6" s="8" t="inlineStr">
        <is>
          <t>Keep frozen directional transfer as clean cross-case test.</t>
        </is>
      </c>
      <c r="V6" s="8" t="inlineStr">
        <is>
          <t>Stable claim-matched behavior with no leakage indicators.</t>
        </is>
      </c>
      <c r="W6" s="8" t="inlineStr">
        <is>
          <t>Weak-split inflation, instability, or minority-class collapse.</t>
        </is>
      </c>
      <c r="X6" s="8" t="inlineStr">
        <is>
          <t>Small sample size, class imbalance, domain shift, and model sensitivity.</t>
        </is>
      </c>
      <c r="Y6" s="8" t="inlineStr">
        <is>
          <t>Chapter 3 Method choice</t>
        </is>
      </c>
      <c r="Z6" s="8" t="inlineStr">
        <is>
          <t>Transfer evidence under domain shift, not population generalization.</t>
        </is>
      </c>
      <c r="AA6" s="8" t="inlineStr">
        <is>
          <t>Planned</t>
        </is>
      </c>
      <c r="AB6" s="8" t="inlineStr">
        <is>
          <t>Khaled (thesis author)</t>
        </is>
      </c>
      <c r="AC6" s="8" t="inlineStr"/>
      <c r="AD6" s="8" t="inlineStr"/>
      <c r="AE6" s="8" t="inlineStr"/>
      <c r="AF6" s="8">
        <f>IF($AA6="Dropped","N/A",IF(AND($H6&lt;&gt;"",$J6&lt;&gt;"",$K6&lt;&gt;"",$M6&lt;&gt;"",$N6&lt;&gt;"",$P6&lt;&gt;"",$Q6&lt;&gt;"",$Y6&lt;&gt;""),"READY","INCOMPLETE"))</f>
        <v/>
      </c>
    </row>
    <row r="7">
      <c r="A7" s="3" t="inlineStr">
        <is>
          <t>E06</t>
        </is>
      </c>
      <c r="B7" s="3" t="inlineStr">
        <is>
          <t>Linear model family comparison</t>
        </is>
      </c>
      <c r="C7" s="3" t="inlineStr">
        <is>
          <t>Model-comparison</t>
        </is>
      </c>
      <c r="D7" s="3" t="inlineStr">
        <is>
          <t>Secondary decision-support</t>
        </is>
      </c>
      <c r="E7" s="3" t="inlineStr">
        <is>
          <t>Stage 1 - Method choice</t>
        </is>
      </c>
      <c r="F7" s="3" t="inlineStr">
        <is>
          <t>High</t>
        </is>
      </c>
      <c r="G7" s="3" t="inlineStr">
        <is>
          <t>Final model family lock</t>
        </is>
      </c>
      <c r="H7" s="3" t="inlineStr">
        <is>
          <t>Which linear model is most appropriate: ridge, logistic regression, or linear SVM?</t>
        </is>
      </c>
      <c r="I7" s="3" t="inlineStr">
        <is>
          <t>Evaluate under leakage-aware splits before interpretation.</t>
        </is>
      </c>
      <c r="J7" s="3" t="inlineStr">
        <is>
          <t>Model family</t>
        </is>
      </c>
      <c r="K7" s="3" t="inlineStr">
        <is>
          <t>Data index version, preprocessing order, metric definitions, seed policy.</t>
        </is>
      </c>
      <c r="L7" s="3" t="inlineStr">
        <is>
          <t>Internal repeated-session BAS2 dataset (sub-001, sub-002) unless explicitly external.</t>
        </is>
      </c>
      <c r="M7" s="3" t="inlineStr">
        <is>
          <t>coarse_affect unless this experiment manipulates target definition.</t>
        </is>
      </c>
      <c r="N7" s="3" t="inlineStr">
        <is>
          <t>Claim-matched leakage-safe split (within_subject_loso_session unless manipulated).</t>
        </is>
      </c>
      <c r="O7" s="3" t="inlineStr">
        <is>
          <t>Performance inflation if split logic or fit scope leaks train-test information.</t>
        </is>
      </c>
      <c r="P7" s="3" t="inlineStr">
        <is>
          <t>Use explicit split manifests and train-only fitting; frozen transfer for cross-person runs.</t>
        </is>
      </c>
      <c r="Q7" s="3" t="inlineStr">
        <is>
          <t>ridge vs logreg vs linearsvc</t>
        </is>
      </c>
      <c r="R7" s="3" t="inlineStr">
        <is>
          <t>Balanced accuracy</t>
        </is>
      </c>
      <c r="S7" s="3" t="inlineStr">
        <is>
          <t>Macro-F1; class-wise recall; accuracy</t>
        </is>
      </c>
      <c r="T7" s="3" t="inlineStr">
        <is>
          <t>Fold-level stability checks and leakage stress checks where relevant.</t>
        </is>
      </c>
      <c r="U7" s="3" t="inlineStr">
        <is>
          <t>Prefer simplest model with comparable performance and better robustness/stability.</t>
        </is>
      </c>
      <c r="V7" s="3" t="inlineStr">
        <is>
          <t>Stable claim-matched behavior with no leakage indicators.</t>
        </is>
      </c>
      <c r="W7" s="3" t="inlineStr">
        <is>
          <t>Weak-split inflation, instability, or minority-class collapse.</t>
        </is>
      </c>
      <c r="X7" s="3" t="inlineStr">
        <is>
          <t>Small sample size, class imbalance, domain shift, and model sensitivity.</t>
        </is>
      </c>
      <c r="Y7" s="3" t="inlineStr">
        <is>
          <t>Chapter 3 Method choice</t>
        </is>
      </c>
      <c r="Z7" s="3" t="inlineStr">
        <is>
          <t>Interpret only within the specified split logic and evidence tier.</t>
        </is>
      </c>
      <c r="AA7" s="3" t="inlineStr">
        <is>
          <t>Planned</t>
        </is>
      </c>
      <c r="AB7" s="3" t="inlineStr">
        <is>
          <t>Khaled (thesis author)</t>
        </is>
      </c>
      <c r="AC7" s="3" t="inlineStr"/>
      <c r="AD7" s="3" t="inlineStr"/>
      <c r="AE7" s="3" t="inlineStr"/>
      <c r="AF7" s="3">
        <f>IF($AA7="Dropped","N/A",IF(AND($H7&lt;&gt;"",$J7&lt;&gt;"",$K7&lt;&gt;"",$M7&lt;&gt;"",$N7&lt;&gt;"",$P7&lt;&gt;"",$Q7&lt;&gt;"",$Y7&lt;&gt;""),"READY","INCOMPLETE"))</f>
        <v/>
      </c>
    </row>
    <row r="8">
      <c r="A8" s="8" t="inlineStr">
        <is>
          <t>E07</t>
        </is>
      </c>
      <c r="B8" s="8" t="inlineStr">
        <is>
          <t>Class weighting experiment</t>
        </is>
      </c>
      <c r="C8" s="8" t="inlineStr">
        <is>
          <t>Model-comparison</t>
        </is>
      </c>
      <c r="D8" s="8" t="inlineStr">
        <is>
          <t>Secondary decision-support</t>
        </is>
      </c>
      <c r="E8" s="8" t="inlineStr">
        <is>
          <t>Stage 1 - Method choice</t>
        </is>
      </c>
      <c r="F8" s="8" t="inlineStr">
        <is>
          <t>Medium</t>
        </is>
      </c>
      <c r="G8" s="8" t="inlineStr">
        <is>
          <t>Weighting policy</t>
        </is>
      </c>
      <c r="H8" s="8" t="inlineStr">
        <is>
          <t>Does class weighting improve fairness across classes without instability?</t>
        </is>
      </c>
      <c r="I8" s="8" t="inlineStr">
        <is>
          <t>Evaluate under leakage-aware splits before interpretation.</t>
        </is>
      </c>
      <c r="J8" s="8" t="inlineStr">
        <is>
          <t>Weighting strategy</t>
        </is>
      </c>
      <c r="K8" s="8" t="inlineStr">
        <is>
          <t>Data index version, preprocessing order, metric definitions, seed policy.</t>
        </is>
      </c>
      <c r="L8" s="8" t="inlineStr">
        <is>
          <t>Internal repeated-session BAS2 dataset (sub-001, sub-002) unless explicitly external.</t>
        </is>
      </c>
      <c r="M8" s="8" t="inlineStr">
        <is>
          <t>coarse_affect unless this experiment manipulates target definition.</t>
        </is>
      </c>
      <c r="N8" s="8" t="inlineStr">
        <is>
          <t>Claim-matched leakage-safe split (within_subject_loso_session unless manipulated).</t>
        </is>
      </c>
      <c r="O8" s="8" t="inlineStr">
        <is>
          <t>Performance inflation if split logic or fit scope leaks train-test information.</t>
        </is>
      </c>
      <c r="P8" s="8" t="inlineStr">
        <is>
          <t>Use explicit split manifests and train-only fitting; frozen transfer for cross-person runs.</t>
        </is>
      </c>
      <c r="Q8" s="8" t="inlineStr">
        <is>
          <t>ridge baseline unless model family is manipulated.</t>
        </is>
      </c>
      <c r="R8" s="8" t="inlineStr">
        <is>
          <t>Balanced accuracy</t>
        </is>
      </c>
      <c r="S8" s="8" t="inlineStr">
        <is>
          <t>Macro-F1; class-wise recall; accuracy</t>
        </is>
      </c>
      <c r="T8" s="8" t="inlineStr">
        <is>
          <t>Fold-level stability checks and leakage stress checks where relevant.</t>
        </is>
      </c>
      <c r="U8" s="8" t="inlineStr">
        <is>
          <t>Pre-specified criterion set before interpretation.</t>
        </is>
      </c>
      <c r="V8" s="8" t="inlineStr">
        <is>
          <t>Stable claim-matched behavior with no leakage indicators.</t>
        </is>
      </c>
      <c r="W8" s="8" t="inlineStr">
        <is>
          <t>Weak-split inflation, instability, or minority-class collapse.</t>
        </is>
      </c>
      <c r="X8" s="8" t="inlineStr">
        <is>
          <t>Small sample size, class imbalance, domain shift, and model sensitivity.</t>
        </is>
      </c>
      <c r="Y8" s="8" t="inlineStr">
        <is>
          <t>Chapter 3 Method choice</t>
        </is>
      </c>
      <c r="Z8" s="8" t="inlineStr">
        <is>
          <t>Interpret only within the specified split logic and evidence tier.</t>
        </is>
      </c>
      <c r="AA8" s="8" t="inlineStr">
        <is>
          <t>Planned</t>
        </is>
      </c>
      <c r="AB8" s="8" t="inlineStr">
        <is>
          <t>Khaled (thesis author)</t>
        </is>
      </c>
      <c r="AC8" s="8" t="inlineStr"/>
      <c r="AD8" s="8" t="inlineStr"/>
      <c r="AE8" s="8" t="inlineStr"/>
      <c r="AF8" s="8">
        <f>IF($AA8="Dropped","N/A",IF(AND($H8&lt;&gt;"",$J8&lt;&gt;"",$K8&lt;&gt;"",$M8&lt;&gt;"",$N8&lt;&gt;"",$P8&lt;&gt;"",$Q8&lt;&gt;"",$Y8&lt;&gt;""),"READY","INCOMPLETE"))</f>
        <v/>
      </c>
    </row>
    <row r="9">
      <c r="A9" s="3" t="inlineStr">
        <is>
          <t>E08</t>
        </is>
      </c>
      <c r="B9" s="3" t="inlineStr">
        <is>
          <t>Hyperparameter strategy experiment</t>
        </is>
      </c>
      <c r="C9" s="3" t="inlineStr">
        <is>
          <t>Model-comparison</t>
        </is>
      </c>
      <c r="D9" s="3" t="inlineStr">
        <is>
          <t>Secondary decision-support</t>
        </is>
      </c>
      <c r="E9" s="3" t="inlineStr">
        <is>
          <t>Stage 1 - Method choice</t>
        </is>
      </c>
      <c r="F9" s="3" t="inlineStr">
        <is>
          <t>Medium</t>
        </is>
      </c>
      <c r="G9" s="3" t="inlineStr">
        <is>
          <t>Tuning policy</t>
        </is>
      </c>
      <c r="H9" s="3" t="inlineStr">
        <is>
          <t>Are fixed conservative hyperparameters sufficient, or does light nested tuning materially improve results?</t>
        </is>
      </c>
      <c r="I9" s="3" t="inlineStr">
        <is>
          <t>Evaluate under leakage-aware splits before interpretation.</t>
        </is>
      </c>
      <c r="J9" s="3" t="inlineStr">
        <is>
          <t>Tuning strategy</t>
        </is>
      </c>
      <c r="K9" s="3" t="inlineStr">
        <is>
          <t>Data index version, preprocessing order, metric definitions, seed policy.</t>
        </is>
      </c>
      <c r="L9" s="3" t="inlineStr">
        <is>
          <t>Internal repeated-session BAS2 dataset (sub-001, sub-002) unless explicitly external.</t>
        </is>
      </c>
      <c r="M9" s="3" t="inlineStr">
        <is>
          <t>coarse_affect unless this experiment manipulates target definition.</t>
        </is>
      </c>
      <c r="N9" s="3" t="inlineStr">
        <is>
          <t>Claim-matched leakage-safe split (within_subject_loso_session unless manipulated).</t>
        </is>
      </c>
      <c r="O9" s="3" t="inlineStr">
        <is>
          <t>Performance inflation if split logic or fit scope leaks train-test information.</t>
        </is>
      </c>
      <c r="P9" s="3" t="inlineStr">
        <is>
          <t>Use explicit split manifests and train-only fitting; frozen transfer for cross-person runs.</t>
        </is>
      </c>
      <c r="Q9" s="3" t="inlineStr">
        <is>
          <t>ridge baseline unless model family is manipulated.</t>
        </is>
      </c>
      <c r="R9" s="3" t="inlineStr">
        <is>
          <t>Balanced accuracy</t>
        </is>
      </c>
      <c r="S9" s="3" t="inlineStr">
        <is>
          <t>Macro-F1; class-wise recall; accuracy</t>
        </is>
      </c>
      <c r="T9" s="3" t="inlineStr">
        <is>
          <t>Fold-level stability checks and leakage stress checks where relevant.</t>
        </is>
      </c>
      <c r="U9" s="3" t="inlineStr">
        <is>
          <t>Keep fixed settings unless nested tuning gives clear, stable gain.</t>
        </is>
      </c>
      <c r="V9" s="3" t="inlineStr">
        <is>
          <t>Stable claim-matched behavior with no leakage indicators.</t>
        </is>
      </c>
      <c r="W9" s="3" t="inlineStr">
        <is>
          <t>Weak-split inflation, instability, or minority-class collapse.</t>
        </is>
      </c>
      <c r="X9" s="3" t="inlineStr">
        <is>
          <t>Small sample size, class imbalance, domain shift, and model sensitivity.</t>
        </is>
      </c>
      <c r="Y9" s="3" t="inlineStr">
        <is>
          <t>Chapter 3 Method choice</t>
        </is>
      </c>
      <c r="Z9" s="3" t="inlineStr">
        <is>
          <t>Interpret only within the specified split logic and evidence tier.</t>
        </is>
      </c>
      <c r="AA9" s="3" t="inlineStr">
        <is>
          <t>Planned</t>
        </is>
      </c>
      <c r="AB9" s="3" t="inlineStr">
        <is>
          <t>Khaled (thesis author)</t>
        </is>
      </c>
      <c r="AC9" s="3" t="inlineStr"/>
      <c r="AD9" s="3" t="inlineStr"/>
      <c r="AE9" s="3" t="inlineStr"/>
      <c r="AF9" s="3">
        <f>IF($AA9="Dropped","N/A",IF(AND($H9&lt;&gt;"",$J9&lt;&gt;"",$K9&lt;&gt;"",$M9&lt;&gt;"",$N9&lt;&gt;"",$P9&lt;&gt;"",$Q9&lt;&gt;"",$Y9&lt;&gt;""),"READY","INCOMPLETE"))</f>
        <v/>
      </c>
    </row>
    <row r="10">
      <c r="A10" s="8" t="inlineStr">
        <is>
          <t>E09</t>
        </is>
      </c>
      <c r="B10" s="8" t="inlineStr">
        <is>
          <t>Whole-brain versus ROI experiment</t>
        </is>
      </c>
      <c r="C10" s="8" t="inlineStr">
        <is>
          <t>Preprocessing-feature</t>
        </is>
      </c>
      <c r="D10" s="8" t="inlineStr">
        <is>
          <t>Secondary decision-support</t>
        </is>
      </c>
      <c r="E10" s="8" t="inlineStr">
        <is>
          <t>Stage 1 - Method choice</t>
        </is>
      </c>
      <c r="F10" s="8" t="inlineStr">
        <is>
          <t>Medium</t>
        </is>
      </c>
      <c r="G10" s="8" t="inlineStr">
        <is>
          <t>Feature representation lock</t>
        </is>
      </c>
      <c r="H10" s="8" t="inlineStr">
        <is>
          <t>Should primary representation remain whole-brain masked voxels or use theory-justified ROIs?</t>
        </is>
      </c>
      <c r="I10" s="8" t="inlineStr">
        <is>
          <t>Evaluate under leakage-aware splits before interpretation.</t>
        </is>
      </c>
      <c r="J10" s="8" t="inlineStr">
        <is>
          <t>Feature space</t>
        </is>
      </c>
      <c r="K10" s="8" t="inlineStr">
        <is>
          <t>Data index version, preprocessing order, metric definitions, seed policy.</t>
        </is>
      </c>
      <c r="L10" s="8" t="inlineStr">
        <is>
          <t>Internal repeated-session BAS2 dataset (sub-001, sub-002) unless explicitly external.</t>
        </is>
      </c>
      <c r="M10" s="8" t="inlineStr">
        <is>
          <t>coarse_affect unless this experiment manipulates target definition.</t>
        </is>
      </c>
      <c r="N10" s="8" t="inlineStr">
        <is>
          <t>Claim-matched leakage-safe split (within_subject_loso_session unless manipulated).</t>
        </is>
      </c>
      <c r="O10" s="8" t="inlineStr">
        <is>
          <t>Performance inflation if split logic or fit scope leaks train-test information.</t>
        </is>
      </c>
      <c r="P10" s="8" t="inlineStr">
        <is>
          <t>Use explicit split manifests and train-only fitting; frozen transfer for cross-person runs.</t>
        </is>
      </c>
      <c r="Q10" s="8" t="inlineStr">
        <is>
          <t>ridge baseline unless model family is manipulated.</t>
        </is>
      </c>
      <c r="R10" s="8" t="inlineStr">
        <is>
          <t>Balanced accuracy</t>
        </is>
      </c>
      <c r="S10" s="8" t="inlineStr">
        <is>
          <t>Macro-F1; class-wise recall; accuracy</t>
        </is>
      </c>
      <c r="T10" s="8" t="inlineStr">
        <is>
          <t>Fold-level stability checks and leakage stress checks where relevant.</t>
        </is>
      </c>
      <c r="U10" s="8" t="inlineStr">
        <is>
          <t>Pre-specified criterion set before interpretation.</t>
        </is>
      </c>
      <c r="V10" s="8" t="inlineStr">
        <is>
          <t>Stable claim-matched behavior with no leakage indicators.</t>
        </is>
      </c>
      <c r="W10" s="8" t="inlineStr">
        <is>
          <t>Weak-split inflation, instability, or minority-class collapse.</t>
        </is>
      </c>
      <c r="X10" s="8" t="inlineStr">
        <is>
          <t>Small sample size, class imbalance, domain shift, and model sensitivity.</t>
        </is>
      </c>
      <c r="Y10" s="8" t="inlineStr">
        <is>
          <t>Chapter 3 Method choice</t>
        </is>
      </c>
      <c r="Z10" s="8" t="inlineStr">
        <is>
          <t>Interpret only within the specified split logic and evidence tier.</t>
        </is>
      </c>
      <c r="AA10" s="8" t="inlineStr">
        <is>
          <t>Planned</t>
        </is>
      </c>
      <c r="AB10" s="8" t="inlineStr">
        <is>
          <t>Khaled (thesis author)</t>
        </is>
      </c>
      <c r="AC10" s="8" t="inlineStr"/>
      <c r="AD10" s="8" t="inlineStr"/>
      <c r="AE10" s="8" t="inlineStr"/>
      <c r="AF10" s="8">
        <f>IF($AA10="Dropped","N/A",IF(AND($H10&lt;&gt;"",$J10&lt;&gt;"",$K10&lt;&gt;"",$M10&lt;&gt;"",$N10&lt;&gt;"",$P10&lt;&gt;"",$Q10&lt;&gt;"",$Y10&lt;&gt;""),"READY","INCOMPLETE"))</f>
        <v/>
      </c>
    </row>
    <row r="11">
      <c r="A11" s="3" t="inlineStr">
        <is>
          <t>E10</t>
        </is>
      </c>
      <c r="B11" s="3" t="inlineStr">
        <is>
          <t>Dimensionality reduction experiment</t>
        </is>
      </c>
      <c r="C11" s="3" t="inlineStr">
        <is>
          <t>Preprocessing-feature</t>
        </is>
      </c>
      <c r="D11" s="3" t="inlineStr">
        <is>
          <t>Secondary decision-support</t>
        </is>
      </c>
      <c r="E11" s="3" t="inlineStr">
        <is>
          <t>Stage 1 - Method choice</t>
        </is>
      </c>
      <c r="F11" s="3" t="inlineStr">
        <is>
          <t>Medium</t>
        </is>
      </c>
      <c r="G11" s="3" t="inlineStr">
        <is>
          <t>Feature reduction policy</t>
        </is>
      </c>
      <c r="H11" s="3" t="inlineStr">
        <is>
          <t>Does unsupervised dimensionality reduction improve performance or stability enough to justify complexity?</t>
        </is>
      </c>
      <c r="I11" s="3" t="inlineStr">
        <is>
          <t>Evaluate under leakage-aware splits before interpretation.</t>
        </is>
      </c>
      <c r="J11" s="3" t="inlineStr">
        <is>
          <t>Feature reduction strategy</t>
        </is>
      </c>
      <c r="K11" s="3" t="inlineStr">
        <is>
          <t>Data index version, preprocessing order, metric definitions, seed policy.</t>
        </is>
      </c>
      <c r="L11" s="3" t="inlineStr">
        <is>
          <t>Internal repeated-session BAS2 dataset (sub-001, sub-002) unless explicitly external.</t>
        </is>
      </c>
      <c r="M11" s="3" t="inlineStr">
        <is>
          <t>coarse_affect unless this experiment manipulates target definition.</t>
        </is>
      </c>
      <c r="N11" s="3" t="inlineStr">
        <is>
          <t>Claim-matched leakage-safe split (within_subject_loso_session unless manipulated).</t>
        </is>
      </c>
      <c r="O11" s="3" t="inlineStr">
        <is>
          <t>Performance inflation if split logic or fit scope leaks train-test information.</t>
        </is>
      </c>
      <c r="P11" s="3" t="inlineStr">
        <is>
          <t>Use explicit split manifests and train-only fitting; frozen transfer for cross-person runs.</t>
        </is>
      </c>
      <c r="Q11" s="3" t="inlineStr">
        <is>
          <t>ridge baseline unless model family is manipulated.</t>
        </is>
      </c>
      <c r="R11" s="3" t="inlineStr">
        <is>
          <t>Balanced accuracy</t>
        </is>
      </c>
      <c r="S11" s="3" t="inlineStr">
        <is>
          <t>Macro-F1; class-wise recall; accuracy</t>
        </is>
      </c>
      <c r="T11" s="3" t="inlineStr">
        <is>
          <t>Fold-level stability checks and leakage stress checks where relevant.</t>
        </is>
      </c>
      <c r="U11" s="3" t="inlineStr">
        <is>
          <t>Pre-specified criterion set before interpretation.</t>
        </is>
      </c>
      <c r="V11" s="3" t="inlineStr">
        <is>
          <t>Stable claim-matched behavior with no leakage indicators.</t>
        </is>
      </c>
      <c r="W11" s="3" t="inlineStr">
        <is>
          <t>Weak-split inflation, instability, or minority-class collapse.</t>
        </is>
      </c>
      <c r="X11" s="3" t="inlineStr">
        <is>
          <t>Small sample size, class imbalance, domain shift, and model sensitivity.</t>
        </is>
      </c>
      <c r="Y11" s="3" t="inlineStr">
        <is>
          <t>Chapter 3 Method choice</t>
        </is>
      </c>
      <c r="Z11" s="3" t="inlineStr">
        <is>
          <t>Interpret only within the specified split logic and evidence tier.</t>
        </is>
      </c>
      <c r="AA11" s="3" t="inlineStr">
        <is>
          <t>Planned</t>
        </is>
      </c>
      <c r="AB11" s="3" t="inlineStr">
        <is>
          <t>Khaled (thesis author)</t>
        </is>
      </c>
      <c r="AC11" s="3" t="inlineStr"/>
      <c r="AD11" s="3" t="inlineStr"/>
      <c r="AE11" s="3" t="inlineStr"/>
      <c r="AF11" s="3">
        <f>IF($AA11="Dropped","N/A",IF(AND($H11&lt;&gt;"",$J11&lt;&gt;"",$K11&lt;&gt;"",$M11&lt;&gt;"",$N11&lt;&gt;"",$P11&lt;&gt;"",$Q11&lt;&gt;"",$Y11&lt;&gt;""),"READY","INCOMPLETE"))</f>
        <v/>
      </c>
    </row>
    <row r="12">
      <c r="A12" s="8" t="inlineStr">
        <is>
          <t>E11</t>
        </is>
      </c>
      <c r="B12" s="8" t="inlineStr">
        <is>
          <t>Scaling and normalization experiment</t>
        </is>
      </c>
      <c r="C12" s="8" t="inlineStr">
        <is>
          <t>Preprocessing-feature</t>
        </is>
      </c>
      <c r="D12" s="8" t="inlineStr">
        <is>
          <t>Secondary decision-support</t>
        </is>
      </c>
      <c r="E12" s="8" t="inlineStr">
        <is>
          <t>Stage 1 - Method choice</t>
        </is>
      </c>
      <c r="F12" s="8" t="inlineStr">
        <is>
          <t>Medium</t>
        </is>
      </c>
      <c r="G12" s="8" t="inlineStr">
        <is>
          <t>Scaling policy lock</t>
        </is>
      </c>
      <c r="H12" s="8" t="inlineStr">
        <is>
          <t>How sensitive are results to scaling strategy?</t>
        </is>
      </c>
      <c r="I12" s="8" t="inlineStr">
        <is>
          <t>Evaluate under leakage-aware splits before interpretation.</t>
        </is>
      </c>
      <c r="J12" s="8" t="inlineStr">
        <is>
          <t>Scaling policy</t>
        </is>
      </c>
      <c r="K12" s="8" t="inlineStr">
        <is>
          <t>Data index version, preprocessing order, metric definitions, seed policy.</t>
        </is>
      </c>
      <c r="L12" s="8" t="inlineStr">
        <is>
          <t>Internal repeated-session BAS2 dataset (sub-001, sub-002) unless explicitly external.</t>
        </is>
      </c>
      <c r="M12" s="8" t="inlineStr">
        <is>
          <t>coarse_affect unless this experiment manipulates target definition.</t>
        </is>
      </c>
      <c r="N12" s="8" t="inlineStr">
        <is>
          <t>Claim-matched leakage-safe split (within_subject_loso_session unless manipulated).</t>
        </is>
      </c>
      <c r="O12" s="8" t="inlineStr">
        <is>
          <t>Performance inflation if split logic or fit scope leaks train-test information.</t>
        </is>
      </c>
      <c r="P12" s="8" t="inlineStr">
        <is>
          <t>Use explicit split manifests and train-only fitting; frozen transfer for cross-person runs.</t>
        </is>
      </c>
      <c r="Q12" s="8" t="inlineStr">
        <is>
          <t>ridge baseline unless model family is manipulated.</t>
        </is>
      </c>
      <c r="R12" s="8" t="inlineStr">
        <is>
          <t>Balanced accuracy</t>
        </is>
      </c>
      <c r="S12" s="8" t="inlineStr">
        <is>
          <t>Macro-F1; class-wise recall; accuracy</t>
        </is>
      </c>
      <c r="T12" s="8" t="inlineStr">
        <is>
          <t>Fold-level stability checks and leakage stress checks where relevant.</t>
        </is>
      </c>
      <c r="U12" s="8" t="inlineStr">
        <is>
          <t>Pre-specified criterion set before interpretation.</t>
        </is>
      </c>
      <c r="V12" s="8" t="inlineStr">
        <is>
          <t>Stable claim-matched behavior with no leakage indicators.</t>
        </is>
      </c>
      <c r="W12" s="8" t="inlineStr">
        <is>
          <t>Weak-split inflation, instability, or minority-class collapse.</t>
        </is>
      </c>
      <c r="X12" s="8" t="inlineStr">
        <is>
          <t>Small sample size, class imbalance, domain shift, and model sensitivity.</t>
        </is>
      </c>
      <c r="Y12" s="8" t="inlineStr">
        <is>
          <t>Chapter 3 Method choice</t>
        </is>
      </c>
      <c r="Z12" s="8" t="inlineStr">
        <is>
          <t>Interpret only within the specified split logic and evidence tier.</t>
        </is>
      </c>
      <c r="AA12" s="8" t="inlineStr">
        <is>
          <t>Planned</t>
        </is>
      </c>
      <c r="AB12" s="8" t="inlineStr">
        <is>
          <t>Khaled (thesis author)</t>
        </is>
      </c>
      <c r="AC12" s="8" t="inlineStr"/>
      <c r="AD12" s="8" t="inlineStr"/>
      <c r="AE12" s="8" t="inlineStr"/>
      <c r="AF12" s="8">
        <f>IF($AA12="Dropped","N/A",IF(AND($H12&lt;&gt;"",$J12&lt;&gt;"",$K12&lt;&gt;"",$M12&lt;&gt;"",$N12&lt;&gt;"",$P12&lt;&gt;"",$Q12&lt;&gt;"",$Y12&lt;&gt;""),"READY","INCOMPLETE"))</f>
        <v/>
      </c>
    </row>
    <row r="13">
      <c r="A13" s="3" t="inlineStr">
        <is>
          <t>E12</t>
        </is>
      </c>
      <c r="B13" s="3" t="inlineStr">
        <is>
          <t>Permutation test experiment</t>
        </is>
      </c>
      <c r="C13" s="3" t="inlineStr">
        <is>
          <t>Robustness</t>
        </is>
      </c>
      <c r="D13" s="3" t="inlineStr">
        <is>
          <t>Primary-supporting robustness</t>
        </is>
      </c>
      <c r="E13" s="3" t="inlineStr">
        <is>
          <t>Stage 2 - Robustness support</t>
        </is>
      </c>
      <c r="F13" s="3" t="inlineStr">
        <is>
          <t>High</t>
        </is>
      </c>
      <c r="G13" s="3" t="inlineStr">
        <is>
          <t>Chance-level distinguishability</t>
        </is>
      </c>
      <c r="H13" s="3" t="inlineStr">
        <is>
          <t>Are main predictive results distinguishable from chance under exact same split logic?</t>
        </is>
      </c>
      <c r="I13" s="3" t="inlineStr">
        <is>
          <t>Evaluate under leakage-aware splits before interpretation.</t>
        </is>
      </c>
      <c r="J13" s="3" t="inlineStr">
        <is>
          <t>Label structure (true vs permuted)</t>
        </is>
      </c>
      <c r="K13" s="3" t="inlineStr">
        <is>
          <t>Data index version, preprocessing order, metric definitions, seed policy.</t>
        </is>
      </c>
      <c r="L13" s="3" t="inlineStr">
        <is>
          <t>Internal repeated-session BAS2 dataset (sub-001, sub-002) unless explicitly external.</t>
        </is>
      </c>
      <c r="M13" s="3" t="inlineStr">
        <is>
          <t>coarse_affect unless this experiment manipulates target definition.</t>
        </is>
      </c>
      <c r="N13" s="3" t="inlineStr">
        <is>
          <t>Exact confirmatory split logic with train-only permutation.</t>
        </is>
      </c>
      <c r="O13" s="3" t="inlineStr">
        <is>
          <t>Performance inflation if split logic or fit scope leaks train-test information.</t>
        </is>
      </c>
      <c r="P13" s="3" t="inlineStr">
        <is>
          <t>Use explicit split manifests and train-only fitting; frozen transfer for cross-person runs.</t>
        </is>
      </c>
      <c r="Q13" s="3" t="inlineStr">
        <is>
          <t>ridge baseline unless model family is manipulated.</t>
        </is>
      </c>
      <c r="R13" s="3" t="inlineStr">
        <is>
          <t>Balanced accuracy</t>
        </is>
      </c>
      <c r="S13" s="3" t="inlineStr">
        <is>
          <t>Empirical p-value; null distribution summary</t>
        </is>
      </c>
      <c r="T13" s="3" t="inlineStr">
        <is>
          <t>Fold-level stability checks and leakage stress checks where relevant.</t>
        </is>
      </c>
      <c r="U13" s="3" t="inlineStr">
        <is>
          <t>Pre-specified criterion set before interpretation.</t>
        </is>
      </c>
      <c r="V13" s="3" t="inlineStr">
        <is>
          <t>Stable claim-matched behavior with no leakage indicators.</t>
        </is>
      </c>
      <c r="W13" s="3" t="inlineStr">
        <is>
          <t>Weak-split inflation, instability, or minority-class collapse.</t>
        </is>
      </c>
      <c r="X13" s="3" t="inlineStr">
        <is>
          <t>Small sample size, class imbalance, domain shift, and model sensitivity.</t>
        </is>
      </c>
      <c r="Y13" s="3" t="inlineStr">
        <is>
          <t>Chapter 4 Supporting robustness</t>
        </is>
      </c>
      <c r="Z13" s="3" t="inlineStr">
        <is>
          <t>Interpret only within the specified split logic and evidence tier.</t>
        </is>
      </c>
      <c r="AA13" s="3" t="inlineStr">
        <is>
          <t>Planned</t>
        </is>
      </c>
      <c r="AB13" s="3" t="inlineStr">
        <is>
          <t>Khaled (thesis author)</t>
        </is>
      </c>
      <c r="AC13" s="3" t="inlineStr"/>
      <c r="AD13" s="3" t="inlineStr"/>
      <c r="AE13" s="3" t="inlineStr"/>
      <c r="AF13" s="3">
        <f>IF($AA13="Dropped","N/A",IF(AND($H13&lt;&gt;"",$J13&lt;&gt;"",$K13&lt;&gt;"",$M13&lt;&gt;"",$N13&lt;&gt;"",$P13&lt;&gt;"",$Q13&lt;&gt;"",$Y13&lt;&gt;""),"READY","INCOMPLETE"))</f>
        <v/>
      </c>
    </row>
    <row r="14">
      <c r="A14" s="8" t="inlineStr">
        <is>
          <t>E13</t>
        </is>
      </c>
      <c r="B14" s="8" t="inlineStr">
        <is>
          <t>Trivial baseline experiment</t>
        </is>
      </c>
      <c r="C14" s="8" t="inlineStr">
        <is>
          <t>Robustness</t>
        </is>
      </c>
      <c r="D14" s="8" t="inlineStr">
        <is>
          <t>Primary-supporting robustness</t>
        </is>
      </c>
      <c r="E14" s="8" t="inlineStr">
        <is>
          <t>Stage 2 - Robustness support</t>
        </is>
      </c>
      <c r="F14" s="8" t="inlineStr">
        <is>
          <t>High</t>
        </is>
      </c>
      <c r="G14" s="8" t="inlineStr">
        <is>
          <t>Non-trivial signal check</t>
        </is>
      </c>
      <c r="H14" s="8" t="inlineStr">
        <is>
          <t>Does the final model clearly outperform trivial baselines?</t>
        </is>
      </c>
      <c r="I14" s="8" t="inlineStr">
        <is>
          <t>Evaluate under leakage-aware splits before interpretation.</t>
        </is>
      </c>
      <c r="J14" s="8" t="inlineStr">
        <is>
          <t>Baseline type</t>
        </is>
      </c>
      <c r="K14" s="8" t="inlineStr">
        <is>
          <t>Data index version, preprocessing order, metric definitions, seed policy.</t>
        </is>
      </c>
      <c r="L14" s="8" t="inlineStr">
        <is>
          <t>Internal repeated-session BAS2 dataset (sub-001, sub-002) unless explicitly external.</t>
        </is>
      </c>
      <c r="M14" s="8" t="inlineStr">
        <is>
          <t>coarse_affect unless this experiment manipulates target definition.</t>
        </is>
      </c>
      <c r="N14" s="8" t="inlineStr">
        <is>
          <t>Claim-matched leakage-safe split (within_subject_loso_session unless manipulated).</t>
        </is>
      </c>
      <c r="O14" s="8" t="inlineStr">
        <is>
          <t>Performance inflation if split logic or fit scope leaks train-test information.</t>
        </is>
      </c>
      <c r="P14" s="8" t="inlineStr">
        <is>
          <t>Use explicit split manifests and train-only fitting; frozen transfer for cross-person runs.</t>
        </is>
      </c>
      <c r="Q14" s="8" t="inlineStr">
        <is>
          <t>Final locked model vs trivial baselines</t>
        </is>
      </c>
      <c r="R14" s="8" t="inlineStr">
        <is>
          <t>Balanced accuracy</t>
        </is>
      </c>
      <c r="S14" s="8" t="inlineStr">
        <is>
          <t>Macro-F1; class-wise recall; accuracy</t>
        </is>
      </c>
      <c r="T14" s="8" t="inlineStr">
        <is>
          <t>Fold-level stability checks and leakage stress checks where relevant.</t>
        </is>
      </c>
      <c r="U14" s="8" t="inlineStr">
        <is>
          <t>Pre-specified criterion set before interpretation.</t>
        </is>
      </c>
      <c r="V14" s="8" t="inlineStr">
        <is>
          <t>Stable claim-matched behavior with no leakage indicators.</t>
        </is>
      </c>
      <c r="W14" s="8" t="inlineStr">
        <is>
          <t>Weak-split inflation, instability, or minority-class collapse.</t>
        </is>
      </c>
      <c r="X14" s="8" t="inlineStr">
        <is>
          <t>Small sample size, class imbalance, domain shift, and model sensitivity.</t>
        </is>
      </c>
      <c r="Y14" s="8" t="inlineStr">
        <is>
          <t>Chapter 4 Supporting robustness</t>
        </is>
      </c>
      <c r="Z14" s="8" t="inlineStr">
        <is>
          <t>Interpret only within the specified split logic and evidence tier.</t>
        </is>
      </c>
      <c r="AA14" s="8" t="inlineStr">
        <is>
          <t>Planned</t>
        </is>
      </c>
      <c r="AB14" s="8" t="inlineStr">
        <is>
          <t>Khaled (thesis author)</t>
        </is>
      </c>
      <c r="AC14" s="8" t="inlineStr"/>
      <c r="AD14" s="8" t="inlineStr"/>
      <c r="AE14" s="8" t="inlineStr"/>
      <c r="AF14" s="8">
        <f>IF($AA14="Dropped","N/A",IF(AND($H14&lt;&gt;"",$J14&lt;&gt;"",$K14&lt;&gt;"",$M14&lt;&gt;"",$N14&lt;&gt;"",$P14&lt;&gt;"",$Q14&lt;&gt;"",$Y14&lt;&gt;""),"READY","INCOMPLETE"))</f>
        <v/>
      </c>
    </row>
    <row r="15">
      <c r="A15" s="3" t="inlineStr">
        <is>
          <t>E14</t>
        </is>
      </c>
      <c r="B15" s="3" t="inlineStr">
        <is>
          <t>Stability of explanation experiment</t>
        </is>
      </c>
      <c r="C15" s="3" t="inlineStr">
        <is>
          <t>Robustness</t>
        </is>
      </c>
      <c r="D15" s="3" t="inlineStr">
        <is>
          <t>Primary-supporting robustness</t>
        </is>
      </c>
      <c r="E15" s="3" t="inlineStr">
        <is>
          <t>Stage 2 - Robustness support</t>
        </is>
      </c>
      <c r="F15" s="3" t="inlineStr">
        <is>
          <t>High</t>
        </is>
      </c>
      <c r="G15" s="3" t="inlineStr">
        <is>
          <t>Interpretability stability support</t>
        </is>
      </c>
      <c r="H15" s="3" t="inlineStr">
        <is>
          <t>Are linear coefficients or importance patterns stable across held-out-session folds?</t>
        </is>
      </c>
      <c r="I15" s="3" t="inlineStr">
        <is>
          <t>Evaluate under leakage-aware splits before interpretation.</t>
        </is>
      </c>
      <c r="J15" s="3" t="inlineStr">
        <is>
          <t>Fold identity</t>
        </is>
      </c>
      <c r="K15" s="3" t="inlineStr">
        <is>
          <t>Data index version, preprocessing order, metric definitions, seed policy.</t>
        </is>
      </c>
      <c r="L15" s="3" t="inlineStr">
        <is>
          <t>Internal repeated-session BAS2 dataset (sub-001, sub-002) unless explicitly external.</t>
        </is>
      </c>
      <c r="M15" s="3" t="inlineStr">
        <is>
          <t>coarse_affect unless this experiment manipulates target definition.</t>
        </is>
      </c>
      <c r="N15" s="3" t="inlineStr">
        <is>
          <t>Claim-matched leakage-safe split (within_subject_loso_session unless manipulated).</t>
        </is>
      </c>
      <c r="O15" s="3" t="inlineStr">
        <is>
          <t>Performance inflation if split logic or fit scope leaks train-test information.</t>
        </is>
      </c>
      <c r="P15" s="3" t="inlineStr">
        <is>
          <t>Use explicit split manifests and train-only fitting; frozen transfer for cross-person runs.</t>
        </is>
      </c>
      <c r="Q15" s="3" t="inlineStr">
        <is>
          <t>ridge baseline unless model family is manipulated.</t>
        </is>
      </c>
      <c r="R15" s="3" t="inlineStr">
        <is>
          <t>Mean pairwise coefficient correlation</t>
        </is>
      </c>
      <c r="S15" s="3" t="inlineStr">
        <is>
          <t>Sign consistency; top-k overlap</t>
        </is>
      </c>
      <c r="T15" s="3" t="inlineStr">
        <is>
          <t>Fold-level stability checks and leakage stress checks where relevant.</t>
        </is>
      </c>
      <c r="U15" s="3" t="inlineStr">
        <is>
          <t>Pre-specified criterion set before interpretation.</t>
        </is>
      </c>
      <c r="V15" s="3" t="inlineStr">
        <is>
          <t>Stable claim-matched behavior with no leakage indicators.</t>
        </is>
      </c>
      <c r="W15" s="3" t="inlineStr">
        <is>
          <t>Weak-split inflation, instability, or minority-class collapse.</t>
        </is>
      </c>
      <c r="X15" s="3" t="inlineStr">
        <is>
          <t>Small sample size, class imbalance, domain shift, and model sensitivity.</t>
        </is>
      </c>
      <c r="Y15" s="3" t="inlineStr">
        <is>
          <t>Chapter 4 Supporting robustness</t>
        </is>
      </c>
      <c r="Z15" s="3" t="inlineStr">
        <is>
          <t>Model-behavior evidence only; no localization claims.</t>
        </is>
      </c>
      <c r="AA15" s="3" t="inlineStr">
        <is>
          <t>Planned</t>
        </is>
      </c>
      <c r="AB15" s="3" t="inlineStr">
        <is>
          <t>Khaled (thesis author)</t>
        </is>
      </c>
      <c r="AC15" s="3" t="inlineStr"/>
      <c r="AD15" s="3" t="inlineStr"/>
      <c r="AE15" s="3" t="inlineStr"/>
      <c r="AF15" s="3">
        <f>IF($AA15="Dropped","N/A",IF(AND($H15&lt;&gt;"",$J15&lt;&gt;"",$K15&lt;&gt;"",$M15&lt;&gt;"",$N15&lt;&gt;"",$P15&lt;&gt;"",$Q15&lt;&gt;"",$Y15&lt;&gt;""),"READY","INCOMPLETE"))</f>
        <v/>
      </c>
    </row>
    <row r="16">
      <c r="A16" s="8" t="inlineStr">
        <is>
          <t>E15</t>
        </is>
      </c>
      <c r="B16" s="8" t="inlineStr">
        <is>
          <t>Sensitivity to subset exclusion</t>
        </is>
      </c>
      <c r="C16" s="8" t="inlineStr">
        <is>
          <t>Robustness</t>
        </is>
      </c>
      <c r="D16" s="8" t="inlineStr">
        <is>
          <t>Secondary decision-support / robustness</t>
        </is>
      </c>
      <c r="E16" s="8" t="inlineStr">
        <is>
          <t>Stage 2 - Robustness support</t>
        </is>
      </c>
      <c r="F16" s="8" t="inlineStr">
        <is>
          <t>Medium</t>
        </is>
      </c>
      <c r="G16" s="8" t="inlineStr">
        <is>
          <t>Sensitivity framing</t>
        </is>
      </c>
      <c r="H16" s="8" t="inlineStr">
        <is>
          <t>Do main conclusions depend excessively on one subset such as one task or modality?</t>
        </is>
      </c>
      <c r="I16" s="8" t="inlineStr">
        <is>
          <t>Evaluate under leakage-aware splits before interpretation.</t>
        </is>
      </c>
      <c r="J16" s="8" t="inlineStr">
        <is>
          <t>Subset inclusion</t>
        </is>
      </c>
      <c r="K16" s="8" t="inlineStr">
        <is>
          <t>Data index version, preprocessing order, metric definitions, seed policy.</t>
        </is>
      </c>
      <c r="L16" s="8" t="inlineStr">
        <is>
          <t>Internal repeated-session BAS2 dataset (sub-001, sub-002) unless explicitly external.</t>
        </is>
      </c>
      <c r="M16" s="8" t="inlineStr">
        <is>
          <t>coarse_affect unless this experiment manipulates target definition.</t>
        </is>
      </c>
      <c r="N16" s="8" t="inlineStr">
        <is>
          <t>Claim-matched leakage-safe split (within_subject_loso_session unless manipulated).</t>
        </is>
      </c>
      <c r="O16" s="8" t="inlineStr">
        <is>
          <t>Performance inflation if split logic or fit scope leaks train-test information.</t>
        </is>
      </c>
      <c r="P16" s="8" t="inlineStr">
        <is>
          <t>Use explicit split manifests and train-only fitting; frozen transfer for cross-person runs.</t>
        </is>
      </c>
      <c r="Q16" s="8" t="inlineStr">
        <is>
          <t>ridge baseline unless model family is manipulated.</t>
        </is>
      </c>
      <c r="R16" s="8" t="inlineStr">
        <is>
          <t>Balanced accuracy</t>
        </is>
      </c>
      <c r="S16" s="8" t="inlineStr">
        <is>
          <t>Macro-F1; class-wise recall; accuracy</t>
        </is>
      </c>
      <c r="T16" s="8" t="inlineStr">
        <is>
          <t>Fold-level stability checks and leakage stress checks where relevant.</t>
        </is>
      </c>
      <c r="U16" s="8" t="inlineStr">
        <is>
          <t>Pre-specified criterion set before interpretation.</t>
        </is>
      </c>
      <c r="V16" s="8" t="inlineStr">
        <is>
          <t>Stable claim-matched behavior with no leakage indicators.</t>
        </is>
      </c>
      <c r="W16" s="8" t="inlineStr">
        <is>
          <t>Weak-split inflation, instability, or minority-class collapse.</t>
        </is>
      </c>
      <c r="X16" s="8" t="inlineStr">
        <is>
          <t>Small sample size, class imbalance, domain shift, and model sensitivity.</t>
        </is>
      </c>
      <c r="Y16" s="8" t="inlineStr">
        <is>
          <t>Chapter 5 Discussion</t>
        </is>
      </c>
      <c r="Z16" s="8" t="inlineStr">
        <is>
          <t>Interpret only within the specified split logic and evidence tier.</t>
        </is>
      </c>
      <c r="AA16" s="8" t="inlineStr">
        <is>
          <t>Planned</t>
        </is>
      </c>
      <c r="AB16" s="8" t="inlineStr">
        <is>
          <t>Khaled (thesis author)</t>
        </is>
      </c>
      <c r="AC16" s="8" t="inlineStr"/>
      <c r="AD16" s="8" t="inlineStr"/>
      <c r="AE16" s="8" t="inlineStr"/>
      <c r="AF16" s="8">
        <f>IF($AA16="Dropped","N/A",IF(AND($H16&lt;&gt;"",$J16&lt;&gt;"",$K16&lt;&gt;"",$M16&lt;&gt;"",$N16&lt;&gt;"",$P16&lt;&gt;"",$Q16&lt;&gt;"",$Y16&lt;&gt;""),"READY","INCOMPLETE"))</f>
        <v/>
      </c>
    </row>
    <row r="17">
      <c r="A17" s="3" t="inlineStr">
        <is>
          <t>E16</t>
        </is>
      </c>
      <c r="B17" s="3" t="inlineStr">
        <is>
          <t>Final within-person confirmatory analysis</t>
        </is>
      </c>
      <c r="C17" s="3" t="inlineStr">
        <is>
          <t>Confirmatory core</t>
        </is>
      </c>
      <c r="D17" s="3" t="inlineStr">
        <is>
          <t>Primary confirmatory</t>
        </is>
      </c>
      <c r="E17" s="3" t="inlineStr">
        <is>
          <t>Stage 3 - Confirmatory core</t>
        </is>
      </c>
      <c r="F17" s="3" t="inlineStr">
        <is>
          <t>Critical</t>
        </is>
      </c>
      <c r="G17" s="3" t="inlineStr">
        <is>
          <t>Primary evidential core</t>
        </is>
      </c>
      <c r="H17" s="3" t="inlineStr">
        <is>
          <t>Does the final locked pipeline show meaningful within-person held-out-session generalization?</t>
        </is>
      </c>
      <c r="I17" s="3" t="inlineStr">
        <is>
          <t>Evaluate under leakage-aware splits before interpretation.</t>
        </is>
      </c>
      <c r="J17" s="3" t="inlineStr">
        <is>
          <t>None; final frozen pipeline</t>
        </is>
      </c>
      <c r="K17" s="3" t="inlineStr">
        <is>
          <t>Data index version, preprocessing order, metric definitions, seed policy.</t>
        </is>
      </c>
      <c r="L17" s="3" t="inlineStr">
        <is>
          <t>Internal repeated-session BAS2 dataset (sub-001, sub-002) unless explicitly external.</t>
        </is>
      </c>
      <c r="M17" s="3" t="inlineStr">
        <is>
          <t>Locked target after Stage 1 target lock</t>
        </is>
      </c>
      <c r="N17" s="3" t="inlineStr">
        <is>
          <t>within_subject_loso_session</t>
        </is>
      </c>
      <c r="O17" s="3" t="inlineStr">
        <is>
          <t>Performance inflation if split logic or fit scope leaks train-test information.</t>
        </is>
      </c>
      <c r="P17" s="3" t="inlineStr">
        <is>
          <t>Use explicit split manifests and train-only fitting; frozen transfer for cross-person runs.</t>
        </is>
      </c>
      <c r="Q17" s="3" t="inlineStr">
        <is>
          <t>Final locked model</t>
        </is>
      </c>
      <c r="R17" s="3" t="inlineStr">
        <is>
          <t>Balanced accuracy</t>
        </is>
      </c>
      <c r="S17" s="3" t="inlineStr">
        <is>
          <t>Macro-F1; class-wise recall; accuracy</t>
        </is>
      </c>
      <c r="T17" s="3" t="inlineStr">
        <is>
          <t>Fold-level stability checks and leakage stress checks where relevant.</t>
        </is>
      </c>
      <c r="U17" s="3" t="inlineStr">
        <is>
          <t>Primary evidential core of thesis.</t>
        </is>
      </c>
      <c r="V17" s="3" t="inlineStr">
        <is>
          <t>Stable claim-matched behavior with no leakage indicators.</t>
        </is>
      </c>
      <c r="W17" s="3" t="inlineStr">
        <is>
          <t>Weak-split inflation, instability, or minority-class collapse.</t>
        </is>
      </c>
      <c r="X17" s="3" t="inlineStr">
        <is>
          <t>Small sample size, class imbalance, domain shift, and model sensitivity.</t>
        </is>
      </c>
      <c r="Y17" s="3" t="inlineStr">
        <is>
          <t>Chapter 4 Main results</t>
        </is>
      </c>
      <c r="Z17" s="3" t="inlineStr">
        <is>
          <t>Interpret only within the specified split logic and evidence tier.</t>
        </is>
      </c>
      <c r="AA17" s="3" t="inlineStr">
        <is>
          <t>Planned</t>
        </is>
      </c>
      <c r="AB17" s="3" t="inlineStr">
        <is>
          <t>Khaled (thesis author)</t>
        </is>
      </c>
      <c r="AC17" s="3" t="inlineStr"/>
      <c r="AD17" s="3" t="inlineStr"/>
      <c r="AE17" s="3" t="inlineStr"/>
      <c r="AF17" s="3">
        <f>IF($AA17="Dropped","N/A",IF(AND($H17&lt;&gt;"",$J17&lt;&gt;"",$K17&lt;&gt;"",$M17&lt;&gt;"",$N17&lt;&gt;"",$P17&lt;&gt;"",$Q17&lt;&gt;"",$Y17&lt;&gt;""),"READY","INCOMPLETE"))</f>
        <v/>
      </c>
    </row>
    <row r="18">
      <c r="A18" s="8" t="inlineStr">
        <is>
          <t>E17</t>
        </is>
      </c>
      <c r="B18" s="8" t="inlineStr">
        <is>
          <t>Final cross-person transfer analysis</t>
        </is>
      </c>
      <c r="C18" s="8" t="inlineStr">
        <is>
          <t>Confirmatory core</t>
        </is>
      </c>
      <c r="D18" s="8" t="inlineStr">
        <is>
          <t>Primary confirmatory</t>
        </is>
      </c>
      <c r="E18" s="8" t="inlineStr">
        <is>
          <t>Stage 3 - Confirmatory core</t>
        </is>
      </c>
      <c r="F18" s="8" t="inlineStr">
        <is>
          <t>Critical</t>
        </is>
      </c>
      <c r="G18" s="8" t="inlineStr">
        <is>
          <t>Secondary confirmatory transfer evidence</t>
        </is>
      </c>
      <c r="H18" s="8" t="inlineStr">
        <is>
          <t>Does final locked pipeline transfer meaningfully across individuals under frozen directional transfer?</t>
        </is>
      </c>
      <c r="I18" s="8" t="inlineStr">
        <is>
          <t>Evaluate under leakage-aware splits before interpretation.</t>
        </is>
      </c>
      <c r="J18" s="8" t="inlineStr">
        <is>
          <t>None; final frozen pipeline</t>
        </is>
      </c>
      <c r="K18" s="8" t="inlineStr">
        <is>
          <t>Data index version, preprocessing order, metric definitions, seed policy.</t>
        </is>
      </c>
      <c r="L18" s="8" t="inlineStr">
        <is>
          <t>Internal repeated-session BAS2 dataset (sub-001, sub-002) unless explicitly external.</t>
        </is>
      </c>
      <c r="M18" s="8" t="inlineStr">
        <is>
          <t>Locked target after Stage 1 target lock</t>
        </is>
      </c>
      <c r="N18" s="8" t="inlineStr">
        <is>
          <t>frozen_cross_person_transfer (both directions)</t>
        </is>
      </c>
      <c r="O18" s="8" t="inlineStr">
        <is>
          <t>Performance inflation if split logic or fit scope leaks train-test information.</t>
        </is>
      </c>
      <c r="P18" s="8" t="inlineStr">
        <is>
          <t>Use explicit split manifests and train-only fitting; frozen transfer for cross-person runs.</t>
        </is>
      </c>
      <c r="Q18" s="8" t="inlineStr">
        <is>
          <t>Final locked model</t>
        </is>
      </c>
      <c r="R18" s="8" t="inlineStr">
        <is>
          <t>Balanced accuracy</t>
        </is>
      </c>
      <c r="S18" s="8" t="inlineStr">
        <is>
          <t>Macro-F1; class-wise recall; accuracy</t>
        </is>
      </c>
      <c r="T18" s="8" t="inlineStr">
        <is>
          <t>Fold-level stability checks and leakage stress checks where relevant.</t>
        </is>
      </c>
      <c r="U18" s="8" t="inlineStr">
        <is>
          <t>Interpret as cross-case transfer evidence under domain shift.</t>
        </is>
      </c>
      <c r="V18" s="8" t="inlineStr">
        <is>
          <t>Stable claim-matched behavior with no leakage indicators.</t>
        </is>
      </c>
      <c r="W18" s="8" t="inlineStr">
        <is>
          <t>Weak-split inflation, instability, or minority-class collapse.</t>
        </is>
      </c>
      <c r="X18" s="8" t="inlineStr">
        <is>
          <t>Small sample size, class imbalance, domain shift, and model sensitivity.</t>
        </is>
      </c>
      <c r="Y18" s="8" t="inlineStr">
        <is>
          <t>Chapter 4 Main results</t>
        </is>
      </c>
      <c r="Z18" s="8" t="inlineStr">
        <is>
          <t>Not population-level generalization.</t>
        </is>
      </c>
      <c r="AA18" s="8" t="inlineStr">
        <is>
          <t>Planned</t>
        </is>
      </c>
      <c r="AB18" s="8" t="inlineStr">
        <is>
          <t>Khaled (thesis author)</t>
        </is>
      </c>
      <c r="AC18" s="8" t="inlineStr"/>
      <c r="AD18" s="8" t="inlineStr"/>
      <c r="AE18" s="8" t="inlineStr"/>
      <c r="AF18" s="8">
        <f>IF($AA18="Dropped","N/A",IF(AND($H18&lt;&gt;"",$J18&lt;&gt;"",$K18&lt;&gt;"",$M18&lt;&gt;"",$N18&lt;&gt;"",$P18&lt;&gt;"",$Q18&lt;&gt;"",$Y18&lt;&gt;""),"READY","INCOMPLETE"))</f>
        <v/>
      </c>
    </row>
    <row r="19">
      <c r="A19" s="3" t="inlineStr">
        <is>
          <t>E18</t>
        </is>
      </c>
      <c r="B19" s="3" t="inlineStr">
        <is>
          <t>External open-source split replication</t>
        </is>
      </c>
      <c r="C19" s="3" t="inlineStr">
        <is>
          <t>External exploratory</t>
        </is>
      </c>
      <c r="D19" s="3" t="inlineStr">
        <is>
          <t>Exploratory extension</t>
        </is>
      </c>
      <c r="E19" s="3" t="inlineStr">
        <is>
          <t>Stage 4 - External exploratory</t>
        </is>
      </c>
      <c r="F19" s="3" t="inlineStr">
        <is>
          <t>Low</t>
        </is>
      </c>
      <c r="G19" s="3" t="inlineStr">
        <is>
          <t>External split-consistency check</t>
        </is>
      </c>
      <c r="H19" s="3" t="inlineStr">
        <is>
          <t>Does same leakage-aware split logic materially affect conclusions on compatible external open-source data?</t>
        </is>
      </c>
      <c r="I19" s="3" t="inlineStr">
        <is>
          <t>Evaluate under leakage-aware splits before interpretation.</t>
        </is>
      </c>
      <c r="J19" s="3" t="inlineStr">
        <is>
          <t>Dataset source</t>
        </is>
      </c>
      <c r="K19" s="3" t="inlineStr">
        <is>
          <t>Data index version, preprocessing order, metric definitions, seed policy.</t>
        </is>
      </c>
      <c r="L19" s="3" t="inlineStr">
        <is>
          <t>External open-source dataset if available/approved</t>
        </is>
      </c>
      <c r="M19" s="3" t="inlineStr">
        <is>
          <t>coarse_affect unless this experiment manipulates target definition.</t>
        </is>
      </c>
      <c r="N19" s="3" t="inlineStr">
        <is>
          <t>Claim-matched leakage-safe split (within_subject_loso_session unless manipulated).</t>
        </is>
      </c>
      <c r="O19" s="3" t="inlineStr">
        <is>
          <t>Performance inflation if split logic or fit scope leaks train-test information.</t>
        </is>
      </c>
      <c r="P19" s="3" t="inlineStr">
        <is>
          <t>Use explicit split manifests and train-only fitting; frozen transfer for cross-person runs.</t>
        </is>
      </c>
      <c r="Q19" s="3" t="inlineStr">
        <is>
          <t>ridge baseline unless model family is manipulated.</t>
        </is>
      </c>
      <c r="R19" s="3" t="inlineStr">
        <is>
          <t>Balanced accuracy</t>
        </is>
      </c>
      <c r="S19" s="3" t="inlineStr">
        <is>
          <t>Macro-F1; class-wise recall; accuracy</t>
        </is>
      </c>
      <c r="T19" s="3" t="inlineStr">
        <is>
          <t>Fold-level stability checks and leakage stress checks where relevant.</t>
        </is>
      </c>
      <c r="U19" s="3" t="inlineStr">
        <is>
          <t>Pre-specified criterion set before interpretation.</t>
        </is>
      </c>
      <c r="V19" s="3" t="inlineStr">
        <is>
          <t>Stable claim-matched behavior with no leakage indicators.</t>
        </is>
      </c>
      <c r="W19" s="3" t="inlineStr">
        <is>
          <t>Weak-split inflation, instability, or minority-class collapse.</t>
        </is>
      </c>
      <c r="X19" s="3" t="inlineStr">
        <is>
          <t>Small sample size, class imbalance, domain shift, and model sensitivity.</t>
        </is>
      </c>
      <c r="Y19" s="3" t="inlineStr">
        <is>
          <t>Appendix</t>
        </is>
      </c>
      <c r="Z19" s="3" t="inlineStr">
        <is>
          <t>Interpret only within the specified split logic and evidence tier.</t>
        </is>
      </c>
      <c r="AA19" s="3" t="inlineStr">
        <is>
          <t>Planned</t>
        </is>
      </c>
      <c r="AB19" s="3" t="inlineStr">
        <is>
          <t>Khaled (thesis author)</t>
        </is>
      </c>
      <c r="AC19" s="3" t="inlineStr"/>
      <c r="AD19" s="3" t="inlineStr"/>
      <c r="AE19" s="3" t="inlineStr"/>
      <c r="AF19" s="3">
        <f>IF($AA19="Dropped","N/A",IF(AND($H19&lt;&gt;"",$J19&lt;&gt;"",$K19&lt;&gt;"",$M19&lt;&gt;"",$N19&lt;&gt;"",$P19&lt;&gt;"",$Q19&lt;&gt;"",$Y19&lt;&gt;""),"READY","INCOMPLETE"))</f>
        <v/>
      </c>
    </row>
    <row r="20">
      <c r="A20" s="8" t="inlineStr">
        <is>
          <t>E19</t>
        </is>
      </c>
      <c r="B20" s="8" t="inlineStr">
        <is>
          <t>External open-source model portability</t>
        </is>
      </c>
      <c r="C20" s="8" t="inlineStr">
        <is>
          <t>External exploratory</t>
        </is>
      </c>
      <c r="D20" s="8" t="inlineStr">
        <is>
          <t>Exploratory extension</t>
        </is>
      </c>
      <c r="E20" s="8" t="inlineStr">
        <is>
          <t>Stage 4 - External exploratory</t>
        </is>
      </c>
      <c r="F20" s="8" t="inlineStr">
        <is>
          <t>Low</t>
        </is>
      </c>
      <c r="G20" s="8" t="inlineStr">
        <is>
          <t>External model-ranking portability check</t>
        </is>
      </c>
      <c r="H20" s="8" t="inlineStr">
        <is>
          <t>Does relative ranking of reasonable model choices remain similar on external data?</t>
        </is>
      </c>
      <c r="I20" s="8" t="inlineStr">
        <is>
          <t>Evaluate under leakage-aware splits before interpretation.</t>
        </is>
      </c>
      <c r="J20" s="8" t="inlineStr">
        <is>
          <t>Dataset source with same small model set</t>
        </is>
      </c>
      <c r="K20" s="8" t="inlineStr">
        <is>
          <t>Data index version, preprocessing order, metric definitions, seed policy.</t>
        </is>
      </c>
      <c r="L20" s="8" t="inlineStr">
        <is>
          <t>External open-source dataset if available/approved</t>
        </is>
      </c>
      <c r="M20" s="8" t="inlineStr">
        <is>
          <t>coarse_affect unless this experiment manipulates target definition.</t>
        </is>
      </c>
      <c r="N20" s="8" t="inlineStr">
        <is>
          <t>Claim-matched leakage-safe split (within_subject_loso_session unless manipulated).</t>
        </is>
      </c>
      <c r="O20" s="8" t="inlineStr">
        <is>
          <t>Performance inflation if split logic or fit scope leaks train-test information.</t>
        </is>
      </c>
      <c r="P20" s="8" t="inlineStr">
        <is>
          <t>Use explicit split manifests and train-only fitting; frozen transfer for cross-person runs.</t>
        </is>
      </c>
      <c r="Q20" s="8" t="inlineStr">
        <is>
          <t>ridge vs logreg vs linearsvc</t>
        </is>
      </c>
      <c r="R20" s="8" t="inlineStr">
        <is>
          <t>Balanced accuracy</t>
        </is>
      </c>
      <c r="S20" s="8" t="inlineStr">
        <is>
          <t>Macro-F1; class-wise recall; accuracy</t>
        </is>
      </c>
      <c r="T20" s="8" t="inlineStr">
        <is>
          <t>Fold-level stability checks and leakage stress checks where relevant.</t>
        </is>
      </c>
      <c r="U20" s="8" t="inlineStr">
        <is>
          <t>Pre-specified criterion set before interpretation.</t>
        </is>
      </c>
      <c r="V20" s="8" t="inlineStr">
        <is>
          <t>Stable claim-matched behavior with no leakage indicators.</t>
        </is>
      </c>
      <c r="W20" s="8" t="inlineStr">
        <is>
          <t>Weak-split inflation, instability, or minority-class collapse.</t>
        </is>
      </c>
      <c r="X20" s="8" t="inlineStr">
        <is>
          <t>Small sample size, class imbalance, domain shift, and model sensitivity.</t>
        </is>
      </c>
      <c r="Y20" s="8" t="inlineStr">
        <is>
          <t>Appendix</t>
        </is>
      </c>
      <c r="Z20" s="8" t="inlineStr">
        <is>
          <t>Interpret only within the specified split logic and evidence tier.</t>
        </is>
      </c>
      <c r="AA20" s="8" t="inlineStr">
        <is>
          <t>Planned</t>
        </is>
      </c>
      <c r="AB20" s="8" t="inlineStr">
        <is>
          <t>Khaled (thesis author)</t>
        </is>
      </c>
      <c r="AC20" s="8" t="inlineStr"/>
      <c r="AD20" s="8" t="inlineStr"/>
      <c r="AE20" s="8" t="inlineStr"/>
      <c r="AF20" s="8">
        <f>IF($AA20="Dropped","N/A",IF(AND($H20&lt;&gt;"",$J20&lt;&gt;"",$K20&lt;&gt;"",$M20&lt;&gt;"",$N20&lt;&gt;"",$P20&lt;&gt;"",$Q20&lt;&gt;"",$Y20&lt;&gt;""),"READY","INCOMPLETE"))</f>
        <v/>
      </c>
    </row>
  </sheetData>
  <autoFilter ref="A1:AF20"/>
  <conditionalFormatting sqref="A2:AF200">
    <cfRule type="expression" priority="1" dxfId="0">
      <formula>$D2="Primary confirmatory"</formula>
    </cfRule>
    <cfRule type="expression" priority="2" dxfId="1">
      <formula>ISNUMBER(SEARCH("Exploratory",$D2))</formula>
    </cfRule>
    <cfRule type="expression" priority="3" dxfId="2">
      <formula>$F2="Critical"</formula>
    </cfRule>
    <cfRule type="expression" priority="4" dxfId="3">
      <formula>$AA2="Dropped"</formula>
    </cfRule>
    <cfRule type="expression" priority="5" dxfId="4">
      <formula>OR($H2="",$J2="",$K2="",$M2="",$N2="",$P2="",$Q2="",$Y2="")</formula>
    </cfRule>
  </conditionalFormatting>
  <dataValidations count="6">
    <dataValidation sqref="C2:C400" showDropDown="0" showInputMessage="0" showErrorMessage="0" allowBlank="0" type="list">
      <formula1>=List_Category</formula1>
    </dataValidation>
    <dataValidation sqref="D2:D400" showDropDown="0" showInputMessage="0" showErrorMessage="0" allowBlank="0" type="list">
      <formula1>=List_Evidential_Role</formula1>
    </dataValidation>
    <dataValidation sqref="E2:E400" showDropDown="0" showInputMessage="0" showErrorMessage="0" allowBlank="0" type="list">
      <formula1>=List_Stage</formula1>
    </dataValidation>
    <dataValidation sqref="F2:F400" showDropDown="0" showInputMessage="0" showErrorMessage="0" allowBlank="0" type="list">
      <formula1>=List_Priority</formula1>
    </dataValidation>
    <dataValidation sqref="Y2:Y400" showDropDown="0" showInputMessage="0" showErrorMessage="0" allowBlank="0" type="list">
      <formula1>=List_Reporting_Destination</formula1>
    </dataValidation>
    <dataValidation sqref="AA2:AA400" showDropDown="0" showInputMessage="0" showErrorMessage="0" allowBlank="0" type="list">
      <formula1>=List_Status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0" customWidth="1" min="4" max="4"/>
    <col width="24" customWidth="1" min="5" max="5"/>
    <col width="22" customWidth="1" min="6" max="6"/>
    <col width="30" customWidth="1" min="7" max="7"/>
    <col width="12" customWidth="1" min="8" max="8"/>
    <col width="16" customWidth="1" min="9" max="9"/>
    <col width="24" customWidth="1" min="10" max="10"/>
    <col width="16" customWidth="1" min="11" max="11"/>
    <col width="22" customWidth="1" min="12" max="12"/>
    <col width="18" customWidth="1" min="13" max="13"/>
    <col width="18" customWidth="1" min="14" max="14"/>
    <col width="18" customWidth="1" min="15" max="15"/>
    <col width="30" customWidth="1" min="16" max="16"/>
    <col width="28" customWidth="1" min="17" max="17"/>
    <col width="34" customWidth="1" min="18" max="18"/>
    <col width="12" customWidth="1" min="19" max="19"/>
    <col width="14" customWidth="1" min="20" max="20"/>
    <col width="36" customWidth="1" min="21" max="21"/>
    <col width="28" customWidth="1" min="22" max="22"/>
  </cols>
  <sheetData>
    <row r="1">
      <c r="A1" s="7" t="inlineStr">
        <is>
          <t>Run_ID</t>
        </is>
      </c>
      <c r="B1" s="7" t="inlineStr">
        <is>
          <t>Experiment_ID</t>
        </is>
      </c>
      <c r="C1" s="7" t="inlineStr">
        <is>
          <t>Run_Date</t>
        </is>
      </c>
      <c r="D1" s="7" t="inlineStr">
        <is>
          <t>Dataset_Name</t>
        </is>
      </c>
      <c r="E1" s="7" t="inlineStr">
        <is>
          <t>Data_Subset</t>
        </is>
      </c>
      <c r="F1" s="7" t="inlineStr">
        <is>
          <t>Code_Commit_or_Version</t>
        </is>
      </c>
      <c r="G1" s="7" t="inlineStr">
        <is>
          <t>Config_File_or_Path</t>
        </is>
      </c>
      <c r="H1" s="7" t="inlineStr">
        <is>
          <t>Random_Seed</t>
        </is>
      </c>
      <c r="I1" s="7" t="inlineStr">
        <is>
          <t>Target</t>
        </is>
      </c>
      <c r="J1" s="7" t="inlineStr">
        <is>
          <t>Split_ID_or_Fold_Definition</t>
        </is>
      </c>
      <c r="K1" s="7" t="inlineStr">
        <is>
          <t>Model</t>
        </is>
      </c>
      <c r="L1" s="7" t="inlineStr">
        <is>
          <t>Feature_Set</t>
        </is>
      </c>
      <c r="M1" s="7" t="inlineStr">
        <is>
          <t>Primary_Metric_Value</t>
        </is>
      </c>
      <c r="N1" s="7" t="inlineStr">
        <is>
          <t>Secondary_Metric_1</t>
        </is>
      </c>
      <c r="O1" s="7" t="inlineStr">
        <is>
          <t>Secondary_Metric_2</t>
        </is>
      </c>
      <c r="P1" s="7" t="inlineStr">
        <is>
          <t>Robustness_Output_Summary</t>
        </is>
      </c>
      <c r="Q1" s="7" t="inlineStr">
        <is>
          <t>Result_Summary</t>
        </is>
      </c>
      <c r="R1" s="7" t="inlineStr">
        <is>
          <t>Preliminary_Interpretation</t>
        </is>
      </c>
      <c r="S1" s="7" t="inlineStr">
        <is>
          <t>Reviewed</t>
        </is>
      </c>
      <c r="T1" s="7" t="inlineStr">
        <is>
          <t>Used_in_Thesis</t>
        </is>
      </c>
      <c r="U1" s="7" t="inlineStr">
        <is>
          <t>Artifact_Path</t>
        </is>
      </c>
      <c r="V1" s="7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</sheetData>
  <dataValidations count="2">
    <dataValidation sqref="S2:S1000" showDropDown="0" showInputMessage="0" showErrorMessage="0" allowBlank="1" type="list">
      <formula1>=List_Reviewed</formula1>
    </dataValidation>
    <dataValidation sqref="T2:T1000" showDropDown="0" showInputMessage="0" showErrorMessage="0" allowBlank="1" type="list">
      <formula1>=List_Used_in_Thesis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2" customWidth="1" min="4" max="4"/>
    <col width="18" customWidth="1" min="5" max="5"/>
    <col width="34" customWidth="1" min="6" max="6"/>
    <col width="24" customWidth="1" min="7" max="7"/>
    <col width="22" customWidth="1" min="8" max="8"/>
    <col width="30" customWidth="1" min="9" max="9"/>
    <col width="12" customWidth="1" min="10" max="10"/>
    <col width="14" customWidth="1" min="11" max="11"/>
    <col width="30" customWidth="1" min="12" max="12"/>
  </cols>
  <sheetData>
    <row r="1">
      <c r="A1" s="7" t="inlineStr">
        <is>
          <t>Decision_ID</t>
        </is>
      </c>
      <c r="B1" s="7" t="inlineStr">
        <is>
          <t>Decision_Topic</t>
        </is>
      </c>
      <c r="C1" s="7" t="inlineStr">
        <is>
          <t>Stage</t>
        </is>
      </c>
      <c r="D1" s="7" t="inlineStr">
        <is>
          <t>Candidate_Options</t>
        </is>
      </c>
      <c r="E1" s="7" t="inlineStr">
        <is>
          <t>Evidence_Experiments</t>
        </is>
      </c>
      <c r="F1" s="7" t="inlineStr">
        <is>
          <t>Chosen_Option</t>
        </is>
      </c>
      <c r="G1" s="7" t="inlineStr">
        <is>
          <t>Why_Chosen</t>
        </is>
      </c>
      <c r="H1" s="7" t="inlineStr">
        <is>
          <t>Why_Not_Others</t>
        </is>
      </c>
      <c r="I1" s="7" t="inlineStr">
        <is>
          <t>Risks_or_Tradeoffs</t>
        </is>
      </c>
      <c r="J1" s="7" t="inlineStr">
        <is>
          <t>Date_Locked</t>
        </is>
      </c>
      <c r="K1" s="7" t="inlineStr">
        <is>
          <t>Freeze_Status</t>
        </is>
      </c>
      <c r="L1" s="7" t="inlineStr">
        <is>
          <t>Thesis_Use</t>
        </is>
      </c>
    </row>
    <row r="2">
      <c r="A2" s="8" t="inlineStr">
        <is>
          <t>D01</t>
        </is>
      </c>
      <c r="B2" s="8" t="inlineStr">
        <is>
          <t>Final target choice</t>
        </is>
      </c>
      <c r="C2" s="8" t="inlineStr">
        <is>
          <t>Stage 1 - Method choice</t>
        </is>
      </c>
      <c r="D2" s="8" t="inlineStr">
        <is>
          <t>fine emotion; coarse_affect; binary valence-like</t>
        </is>
      </c>
      <c r="E2" s="8" t="inlineStr">
        <is>
          <t>E01,E02,E03</t>
        </is>
      </c>
      <c r="F2" s="8" t="inlineStr">
        <is>
          <t>To be locked after evidence review</t>
        </is>
      </c>
      <c r="G2" s="8" t="inlineStr"/>
      <c r="H2" s="8" t="inlineStr"/>
      <c r="I2" s="8" t="inlineStr">
        <is>
          <t>Construct validity vs learnability tradeoff.</t>
        </is>
      </c>
      <c r="J2" s="8" t="inlineStr"/>
      <c r="K2" s="8" t="inlineStr">
        <is>
          <t>Open</t>
        </is>
      </c>
      <c r="L2" s="8" t="inlineStr">
        <is>
          <t>Locks confirmatory target.</t>
        </is>
      </c>
    </row>
    <row r="3">
      <c r="A3" s="3" t="inlineStr">
        <is>
          <t>D02</t>
        </is>
      </c>
      <c r="B3" s="3" t="inlineStr">
        <is>
          <t>Final split design</t>
        </is>
      </c>
      <c r="C3" s="3" t="inlineStr">
        <is>
          <t>Stage 1 - Method choice</t>
        </is>
      </c>
      <c r="D3" s="3" t="inlineStr">
        <is>
          <t>within_subject_loso_session; weaker alternatives</t>
        </is>
      </c>
      <c r="E3" s="3" t="inlineStr">
        <is>
          <t>E04,E05</t>
        </is>
      </c>
      <c r="F3" s="3" t="inlineStr">
        <is>
          <t>To be locked after split stress test</t>
        </is>
      </c>
      <c r="G3" s="3" t="inlineStr"/>
      <c r="H3" s="3" t="inlineStr"/>
      <c r="I3" s="3" t="inlineStr">
        <is>
          <t>Weak split may inflate performance.</t>
        </is>
      </c>
      <c r="J3" s="3" t="inlineStr"/>
      <c r="K3" s="3" t="inlineStr">
        <is>
          <t>Open</t>
        </is>
      </c>
      <c r="L3" s="3" t="inlineStr">
        <is>
          <t>Locks claim-matched split logic.</t>
        </is>
      </c>
    </row>
    <row r="4">
      <c r="A4" s="8" t="inlineStr">
        <is>
          <t>D03</t>
        </is>
      </c>
      <c r="B4" s="8" t="inlineStr">
        <is>
          <t>Final model family</t>
        </is>
      </c>
      <c r="C4" s="8" t="inlineStr">
        <is>
          <t>Stage 1 - Method choice</t>
        </is>
      </c>
      <c r="D4" s="8" t="inlineStr">
        <is>
          <t>ridge; logreg; linearsvc</t>
        </is>
      </c>
      <c r="E4" s="8" t="inlineStr">
        <is>
          <t>E06</t>
        </is>
      </c>
      <c r="F4" s="8" t="inlineStr">
        <is>
          <t>To be locked after model comparison</t>
        </is>
      </c>
      <c r="G4" s="8" t="inlineStr"/>
      <c r="H4" s="8" t="inlineStr"/>
      <c r="I4" s="8" t="inlineStr">
        <is>
          <t>Performance-stability-complexity tradeoff.</t>
        </is>
      </c>
      <c r="J4" s="8" t="inlineStr"/>
      <c r="K4" s="8" t="inlineStr">
        <is>
          <t>Open</t>
        </is>
      </c>
      <c r="L4" s="8" t="inlineStr">
        <is>
          <t>Locks confirmatory model.</t>
        </is>
      </c>
    </row>
    <row r="5">
      <c r="A5" s="3" t="inlineStr">
        <is>
          <t>D04</t>
        </is>
      </c>
      <c r="B5" s="3" t="inlineStr">
        <is>
          <t>Final weighting policy</t>
        </is>
      </c>
      <c r="C5" s="3" t="inlineStr">
        <is>
          <t>Stage 1 - Method choice</t>
        </is>
      </c>
      <c r="D5" s="3" t="inlineStr">
        <is>
          <t>No weighting; class weighting</t>
        </is>
      </c>
      <c r="E5" s="3" t="inlineStr">
        <is>
          <t>E07</t>
        </is>
      </c>
      <c r="F5" s="3" t="inlineStr">
        <is>
          <t>To be locked after fairness/stability check</t>
        </is>
      </c>
      <c r="G5" s="3" t="inlineStr"/>
      <c r="H5" s="3" t="inlineStr"/>
      <c r="I5" s="3" t="inlineStr">
        <is>
          <t>Minority fairness vs instability tradeoff.</t>
        </is>
      </c>
      <c r="J5" s="3" t="inlineStr"/>
      <c r="K5" s="3" t="inlineStr">
        <is>
          <t>Open</t>
        </is>
      </c>
      <c r="L5" s="3" t="inlineStr">
        <is>
          <t>Locks class weighting.</t>
        </is>
      </c>
    </row>
    <row r="6">
      <c r="A6" s="8" t="inlineStr">
        <is>
          <t>D05</t>
        </is>
      </c>
      <c r="B6" s="8" t="inlineStr">
        <is>
          <t>Final tuning policy</t>
        </is>
      </c>
      <c r="C6" s="8" t="inlineStr">
        <is>
          <t>Stage 1 - Method choice</t>
        </is>
      </c>
      <c r="D6" s="8" t="inlineStr">
        <is>
          <t>Fixed settings; light nested tuning</t>
        </is>
      </c>
      <c r="E6" s="8" t="inlineStr">
        <is>
          <t>E08</t>
        </is>
      </c>
      <c r="F6" s="8" t="inlineStr">
        <is>
          <t>To be locked after tuning check</t>
        </is>
      </c>
      <c r="G6" s="8" t="inlineStr"/>
      <c r="H6" s="8" t="inlineStr"/>
      <c r="I6" s="8" t="inlineStr">
        <is>
          <t>Added tuning complexity and overfit risk.</t>
        </is>
      </c>
      <c r="J6" s="8" t="inlineStr"/>
      <c r="K6" s="8" t="inlineStr">
        <is>
          <t>Open</t>
        </is>
      </c>
      <c r="L6" s="8" t="inlineStr">
        <is>
          <t>Locks configuration policy.</t>
        </is>
      </c>
    </row>
    <row r="7">
      <c r="A7" s="3" t="inlineStr">
        <is>
          <t>D06</t>
        </is>
      </c>
      <c r="B7" s="3" t="inlineStr">
        <is>
          <t>Final feature representation</t>
        </is>
      </c>
      <c r="C7" s="3" t="inlineStr">
        <is>
          <t>Stage 1 - Method choice</t>
        </is>
      </c>
      <c r="D7" s="3" t="inlineStr">
        <is>
          <t>Whole-brain; ROI</t>
        </is>
      </c>
      <c r="E7" s="3" t="inlineStr">
        <is>
          <t>E09,E10</t>
        </is>
      </c>
      <c r="F7" s="3" t="inlineStr">
        <is>
          <t>To be locked after representation evidence</t>
        </is>
      </c>
      <c r="G7" s="3" t="inlineStr"/>
      <c r="H7" s="3" t="inlineStr"/>
      <c r="I7" s="3" t="inlineStr">
        <is>
          <t>Feature-space choice affects validity and stability.</t>
        </is>
      </c>
      <c r="J7" s="3" t="inlineStr"/>
      <c r="K7" s="3" t="inlineStr">
        <is>
          <t>Open</t>
        </is>
      </c>
      <c r="L7" s="3" t="inlineStr">
        <is>
          <t>Locks feature space.</t>
        </is>
      </c>
    </row>
    <row r="8">
      <c r="A8" s="8" t="inlineStr">
        <is>
          <t>D07</t>
        </is>
      </c>
      <c r="B8" s="8" t="inlineStr">
        <is>
          <t>Final scaling policy</t>
        </is>
      </c>
      <c r="C8" s="8" t="inlineStr">
        <is>
          <t>Stage 1 - Method choice</t>
        </is>
      </c>
      <c r="D8" s="8" t="inlineStr">
        <is>
          <t>No scaling; standard/robust scaling</t>
        </is>
      </c>
      <c r="E8" s="8" t="inlineStr">
        <is>
          <t>E11</t>
        </is>
      </c>
      <c r="F8" s="8" t="inlineStr">
        <is>
          <t>To be locked after scaling sensitivity check</t>
        </is>
      </c>
      <c r="G8" s="8" t="inlineStr"/>
      <c r="H8" s="8" t="inlineStr"/>
      <c r="I8" s="8" t="inlineStr">
        <is>
          <t>Scaling can shift classifier behavior.</t>
        </is>
      </c>
      <c r="J8" s="8" t="inlineStr"/>
      <c r="K8" s="8" t="inlineStr">
        <is>
          <t>Open</t>
        </is>
      </c>
      <c r="L8" s="8" t="inlineStr">
        <is>
          <t>Locks preprocessing.</t>
        </is>
      </c>
    </row>
    <row r="9">
      <c r="A9" s="3" t="inlineStr">
        <is>
          <t>D08</t>
        </is>
      </c>
      <c r="B9" s="3" t="inlineStr">
        <is>
          <t>Use of external data</t>
        </is>
      </c>
      <c r="C9" s="3" t="inlineStr">
        <is>
          <t>Stage 4 - External exploratory</t>
        </is>
      </c>
      <c r="D9" s="3" t="inlineStr">
        <is>
          <t>No external; external replication/portability</t>
        </is>
      </c>
      <c r="E9" s="3" t="inlineStr">
        <is>
          <t>E18,E19</t>
        </is>
      </c>
      <c r="F9" s="3" t="inlineStr">
        <is>
          <t>To be decided after confirmatory completion</t>
        </is>
      </c>
      <c r="G9" s="3" t="inlineStr"/>
      <c r="H9" s="3" t="inlineStr"/>
      <c r="I9" s="3" t="inlineStr">
        <is>
          <t>Comparability and validity limits for external data.</t>
        </is>
      </c>
      <c r="J9" s="3" t="inlineStr"/>
      <c r="K9" s="3" t="inlineStr">
        <is>
          <t>Open</t>
        </is>
      </c>
      <c r="L9" s="3" t="inlineStr">
        <is>
          <t>Controls exploratory scope.</t>
        </is>
      </c>
    </row>
  </sheetData>
  <conditionalFormatting sqref="K2:K200">
    <cfRule type="expression" priority="1" dxfId="0">
      <formula>$K2="Locked"</formula>
    </cfRule>
    <cfRule type="expression" priority="2" dxfId="1">
      <formula>$K2="Open"</formula>
    </cfRule>
  </conditionalFormatting>
  <dataValidations count="1">
    <dataValidation sqref="K2:K500" showDropDown="0" showInputMessage="0" showErrorMessage="0" allowBlank="0" type="list">
      <formula1>=List_Freeze_Status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8" customWidth="1" min="3" max="3"/>
    <col width="34" customWidth="1" min="4" max="4"/>
    <col width="14" customWidth="1" min="5" max="5"/>
    <col width="30" customWidth="1" min="6" max="6"/>
    <col width="20" customWidth="1" min="7" max="7"/>
    <col width="20" customWidth="1" min="8" max="8"/>
    <col width="22" customWidth="1" min="9" max="9"/>
  </cols>
  <sheetData>
    <row r="1">
      <c r="A1" s="7" t="inlineStr">
        <is>
          <t>Experiment_ID</t>
        </is>
      </c>
      <c r="B1" s="7" t="inlineStr">
        <is>
          <t>Short_Title</t>
        </is>
      </c>
      <c r="C1" s="7" t="inlineStr">
        <is>
          <t>Final_Pipeline_Version</t>
        </is>
      </c>
      <c r="D1" s="7" t="inlineStr">
        <is>
          <t>Claim_Supported</t>
        </is>
      </c>
      <c r="E1" s="7" t="inlineStr">
        <is>
          <t>Status</t>
        </is>
      </c>
      <c r="F1" s="7" t="inlineStr">
        <is>
          <t>Main_Result_Summary</t>
        </is>
      </c>
      <c r="G1" s="7" t="inlineStr">
        <is>
          <t>Robustness_Status</t>
        </is>
      </c>
      <c r="H1" s="7" t="inlineStr">
        <is>
          <t>Ready_for_Chapter_4</t>
        </is>
      </c>
      <c r="I1" s="7" t="inlineStr">
        <is>
          <t>Confirmatory_Eligible</t>
        </is>
      </c>
    </row>
    <row r="2">
      <c r="A2" s="8" t="inlineStr">
        <is>
          <t>E12</t>
        </is>
      </c>
      <c r="B2" s="8" t="inlineStr">
        <is>
          <t>Permutation test experiment</t>
        </is>
      </c>
      <c r="C2" s="8" t="inlineStr">
        <is>
          <t>To be fixed after freeze lock</t>
        </is>
      </c>
      <c r="D2" s="8" t="inlineStr">
        <is>
          <t>Chance-distinguishability support</t>
        </is>
      </c>
      <c r="E2" s="8">
        <f>IFERROR(INDEX(Master_Experiments!$AA:$AA,MATCH($A2,Master_Experiments!$A:$A,0)),"Planned")</f>
        <v/>
      </c>
      <c r="F2" s="8">
        <f>IFERROR(INDEX(Master_Experiments!$AC:$AC,MATCH($A2,Master_Experiments!$A:$A,0)),"")</f>
        <v/>
      </c>
      <c r="G2" s="8" t="inlineStr">
        <is>
          <t>Planned</t>
        </is>
      </c>
      <c r="H2" s="8">
        <f>IF(AND($E2="Completed",$I2="YES"),"YES","NO")</f>
        <v/>
      </c>
      <c r="I2" s="8">
        <f>IF(AND(COUNTIFS(Decision_Log!$A:$A,"D01",Decision_Log!$K:$K,"Locked")&gt;0,COUNTIFS(Decision_Log!$A:$A,"D02",Decision_Log!$K:$K,"Locked")&gt;0,COUNTIFS(Decision_Log!$A:$A,"D03",Decision_Log!$K:$K,"Locked")&gt;0,COUNTIFS(Decision_Log!$A:$A,"D04",Decision_Log!$K:$K,"Locked")&gt;0,COUNTIFS(Decision_Log!$A:$A,"D05",Decision_Log!$K:$K,"Locked")&gt;0,COUNTIFS(Decision_Log!$A:$A,"D06",Decision_Log!$K:$K,"Locked")&gt;0,COUNTIFS(Decision_Log!$A:$A,"D07",Decision_Log!$K:$K,"Locked")&gt;0),"YES","NO")</f>
        <v/>
      </c>
    </row>
    <row r="3">
      <c r="A3" s="3" t="inlineStr">
        <is>
          <t>E13</t>
        </is>
      </c>
      <c r="B3" s="3" t="inlineStr">
        <is>
          <t>Trivial baseline experiment</t>
        </is>
      </c>
      <c r="C3" s="3" t="inlineStr">
        <is>
          <t>To be fixed after freeze lock</t>
        </is>
      </c>
      <c r="D3" s="3" t="inlineStr">
        <is>
          <t>Non-trivial model value support</t>
        </is>
      </c>
      <c r="E3" s="3">
        <f>IFERROR(INDEX(Master_Experiments!$AA:$AA,MATCH($A3,Master_Experiments!$A:$A,0)),"Planned")</f>
        <v/>
      </c>
      <c r="F3" s="3">
        <f>IFERROR(INDEX(Master_Experiments!$AC:$AC,MATCH($A3,Master_Experiments!$A:$A,0)),"")</f>
        <v/>
      </c>
      <c r="G3" s="3" t="inlineStr">
        <is>
          <t>Planned</t>
        </is>
      </c>
      <c r="H3" s="3">
        <f>IF(AND($E3="Completed",$I3="YES"),"YES","NO")</f>
        <v/>
      </c>
      <c r="I3" s="3">
        <f>IF(AND(COUNTIFS(Decision_Log!$A:$A,"D01",Decision_Log!$K:$K,"Locked")&gt;0,COUNTIFS(Decision_Log!$A:$A,"D02",Decision_Log!$K:$K,"Locked")&gt;0,COUNTIFS(Decision_Log!$A:$A,"D03",Decision_Log!$K:$K,"Locked")&gt;0,COUNTIFS(Decision_Log!$A:$A,"D04",Decision_Log!$K:$K,"Locked")&gt;0,COUNTIFS(Decision_Log!$A:$A,"D05",Decision_Log!$K:$K,"Locked")&gt;0,COUNTIFS(Decision_Log!$A:$A,"D06",Decision_Log!$K:$K,"Locked")&gt;0,COUNTIFS(Decision_Log!$A:$A,"D07",Decision_Log!$K:$K,"Locked")&gt;0),"YES","NO")</f>
        <v/>
      </c>
    </row>
    <row r="4">
      <c r="A4" s="8" t="inlineStr">
        <is>
          <t>E14</t>
        </is>
      </c>
      <c r="B4" s="8" t="inlineStr">
        <is>
          <t>Stability of explanation experiment</t>
        </is>
      </c>
      <c r="C4" s="8" t="inlineStr">
        <is>
          <t>To be fixed after freeze lock</t>
        </is>
      </c>
      <c r="D4" s="8" t="inlineStr">
        <is>
          <t>Model-behavior stability support</t>
        </is>
      </c>
      <c r="E4" s="8">
        <f>IFERROR(INDEX(Master_Experiments!$AA:$AA,MATCH($A4,Master_Experiments!$A:$A,0)),"Planned")</f>
        <v/>
      </c>
      <c r="F4" s="8">
        <f>IFERROR(INDEX(Master_Experiments!$AC:$AC,MATCH($A4,Master_Experiments!$A:$A,0)),"")</f>
        <v/>
      </c>
      <c r="G4" s="8" t="inlineStr">
        <is>
          <t>Planned</t>
        </is>
      </c>
      <c r="H4" s="8">
        <f>IF(AND($E4="Completed",$I4="YES"),"YES","NO")</f>
        <v/>
      </c>
      <c r="I4" s="8">
        <f>IF(AND(COUNTIFS(Decision_Log!$A:$A,"D01",Decision_Log!$K:$K,"Locked")&gt;0,COUNTIFS(Decision_Log!$A:$A,"D02",Decision_Log!$K:$K,"Locked")&gt;0,COUNTIFS(Decision_Log!$A:$A,"D03",Decision_Log!$K:$K,"Locked")&gt;0,COUNTIFS(Decision_Log!$A:$A,"D04",Decision_Log!$K:$K,"Locked")&gt;0,COUNTIFS(Decision_Log!$A:$A,"D05",Decision_Log!$K:$K,"Locked")&gt;0,COUNTIFS(Decision_Log!$A:$A,"D06",Decision_Log!$K:$K,"Locked")&gt;0,COUNTIFS(Decision_Log!$A:$A,"D07",Decision_Log!$K:$K,"Locked")&gt;0),"YES","NO")</f>
        <v/>
      </c>
    </row>
    <row r="5">
      <c r="A5" s="3" t="inlineStr">
        <is>
          <t>E16</t>
        </is>
      </c>
      <c r="B5" s="3" t="inlineStr">
        <is>
          <t>Final within-person confirmatory analysis</t>
        </is>
      </c>
      <c r="C5" s="3" t="inlineStr">
        <is>
          <t>To be fixed after freeze lock</t>
        </is>
      </c>
      <c r="D5" s="3" t="inlineStr">
        <is>
          <t>Primary within-person claim</t>
        </is>
      </c>
      <c r="E5" s="3">
        <f>IFERROR(INDEX(Master_Experiments!$AA:$AA,MATCH($A5,Master_Experiments!$A:$A,0)),"Planned")</f>
        <v/>
      </c>
      <c r="F5" s="3">
        <f>IFERROR(INDEX(Master_Experiments!$AC:$AC,MATCH($A5,Master_Experiments!$A:$A,0)),"")</f>
        <v/>
      </c>
      <c r="G5" s="3" t="inlineStr">
        <is>
          <t>Planned</t>
        </is>
      </c>
      <c r="H5" s="3">
        <f>IF(AND($E5="Completed",$I5="YES"),"YES","NO")</f>
        <v/>
      </c>
      <c r="I5" s="3">
        <f>IF(AND(COUNTIFS(Decision_Log!$A:$A,"D01",Decision_Log!$K:$K,"Locked")&gt;0,COUNTIFS(Decision_Log!$A:$A,"D02",Decision_Log!$K:$K,"Locked")&gt;0,COUNTIFS(Decision_Log!$A:$A,"D03",Decision_Log!$K:$K,"Locked")&gt;0,COUNTIFS(Decision_Log!$A:$A,"D04",Decision_Log!$K:$K,"Locked")&gt;0,COUNTIFS(Decision_Log!$A:$A,"D05",Decision_Log!$K:$K,"Locked")&gt;0,COUNTIFS(Decision_Log!$A:$A,"D06",Decision_Log!$K:$K,"Locked")&gt;0,COUNTIFS(Decision_Log!$A:$A,"D07",Decision_Log!$K:$K,"Locked")&gt;0),"YES","NO")</f>
        <v/>
      </c>
    </row>
    <row r="6">
      <c r="A6" s="8" t="inlineStr">
        <is>
          <t>E17</t>
        </is>
      </c>
      <c r="B6" s="8" t="inlineStr">
        <is>
          <t>Final cross-person transfer analysis</t>
        </is>
      </c>
      <c r="C6" s="8" t="inlineStr">
        <is>
          <t>To be fixed after freeze lock</t>
        </is>
      </c>
      <c r="D6" s="8" t="inlineStr">
        <is>
          <t>Directional transfer claim</t>
        </is>
      </c>
      <c r="E6" s="8">
        <f>IFERROR(INDEX(Master_Experiments!$AA:$AA,MATCH($A6,Master_Experiments!$A:$A,0)),"Planned")</f>
        <v/>
      </c>
      <c r="F6" s="8">
        <f>IFERROR(INDEX(Master_Experiments!$AC:$AC,MATCH($A6,Master_Experiments!$A:$A,0)),"")</f>
        <v/>
      </c>
      <c r="G6" s="8" t="inlineStr">
        <is>
          <t>Planned</t>
        </is>
      </c>
      <c r="H6" s="8">
        <f>IF(AND($E6="Completed",$I6="YES"),"YES","NO")</f>
        <v/>
      </c>
      <c r="I6" s="8">
        <f>IF(AND(COUNTIFS(Decision_Log!$A:$A,"D01",Decision_Log!$K:$K,"Locked")&gt;0,COUNTIFS(Decision_Log!$A:$A,"D02",Decision_Log!$K:$K,"Locked")&gt;0,COUNTIFS(Decision_Log!$A:$A,"D03",Decision_Log!$K:$K,"Locked")&gt;0,COUNTIFS(Decision_Log!$A:$A,"D04",Decision_Log!$K:$K,"Locked")&gt;0,COUNTIFS(Decision_Log!$A:$A,"D05",Decision_Log!$K:$K,"Locked")&gt;0,COUNTIFS(Decision_Log!$A:$A,"D06",Decision_Log!$K:$K,"Locked")&gt;0,COUNTIFS(Decision_Log!$A:$A,"D07",Decision_Log!$K:$K,"Locked")&gt;0),"YES","NO")</f>
        <v/>
      </c>
    </row>
  </sheetData>
  <conditionalFormatting sqref="I2:I200">
    <cfRule type="expression" priority="1" dxfId="0">
      <formula>$I2="YES"</formula>
    </cfRule>
    <cfRule type="expression" priority="2" dxfId="4">
      <formula>$I2="NO"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28" customWidth="1" min="4" max="4"/>
    <col width="14" customWidth="1" min="5" max="5"/>
    <col width="44" customWidth="1" min="6" max="6"/>
    <col width="34" customWidth="1" min="7" max="7"/>
    <col width="28" customWidth="1" min="8" max="8"/>
  </cols>
  <sheetData>
    <row r="1">
      <c r="A1" s="7" t="inlineStr">
        <is>
          <t>Experiment_ID</t>
        </is>
      </c>
      <c r="B1" s="7" t="inlineStr">
        <is>
          <t>Chapter</t>
        </is>
      </c>
      <c r="C1" s="7" t="inlineStr">
        <is>
          <t>Section</t>
        </is>
      </c>
      <c r="D1" s="7" t="inlineStr">
        <is>
          <t>Purpose_in_Thesis</t>
        </is>
      </c>
      <c r="E1" s="7" t="inlineStr">
        <is>
          <t>Main_or_Supporting</t>
        </is>
      </c>
      <c r="F1" s="7" t="inlineStr">
        <is>
          <t>Method_Choice_or_Method_Application_or_Discussion</t>
        </is>
      </c>
      <c r="G1" s="7" t="inlineStr">
        <is>
          <t>What_Claim_or_Decision_It_Supports</t>
        </is>
      </c>
      <c r="H1" s="7" t="inlineStr">
        <is>
          <t>Notes_for_Writing</t>
        </is>
      </c>
    </row>
    <row r="2">
      <c r="A2" s="8" t="inlineStr">
        <is>
          <t>E01</t>
        </is>
      </c>
      <c r="B2" s="8" t="inlineStr">
        <is>
          <t>Chapter 3</t>
        </is>
      </c>
      <c r="C2" s="8" t="inlineStr">
        <is>
          <t>3.3 Target definition</t>
        </is>
      </c>
      <c r="D2" s="8" t="inlineStr">
        <is>
          <t>Target granularity method choice</t>
        </is>
      </c>
      <c r="E2" s="8" t="inlineStr">
        <is>
          <t>Supporting</t>
        </is>
      </c>
      <c r="F2" s="8" t="inlineStr">
        <is>
          <t>Method choice</t>
        </is>
      </c>
      <c r="G2" s="8" t="inlineStr">
        <is>
          <t>Locks target definition</t>
        </is>
      </c>
      <c r="H2" s="8" t="inlineStr">
        <is>
          <t>Feeds D01</t>
        </is>
      </c>
    </row>
    <row r="3">
      <c r="A3" s="3" t="inlineStr">
        <is>
          <t>E02</t>
        </is>
      </c>
      <c r="B3" s="3" t="inlineStr">
        <is>
          <t>Chapter 3</t>
        </is>
      </c>
      <c r="C3" s="3" t="inlineStr">
        <is>
          <t>3.3 Task strategy</t>
        </is>
      </c>
      <c r="D3" s="3" t="inlineStr">
        <is>
          <t>Task pooling choice</t>
        </is>
      </c>
      <c r="E3" s="3" t="inlineStr">
        <is>
          <t>Supporting</t>
        </is>
      </c>
      <c r="F3" s="3" t="inlineStr">
        <is>
          <t>Method choice</t>
        </is>
      </c>
      <c r="G3" s="3" t="inlineStr">
        <is>
          <t>Task pooling decision</t>
        </is>
      </c>
      <c r="H3" s="3" t="inlineStr"/>
    </row>
    <row r="4">
      <c r="A4" s="8" t="inlineStr">
        <is>
          <t>E03</t>
        </is>
      </c>
      <c r="B4" s="8" t="inlineStr">
        <is>
          <t>Chapter 3</t>
        </is>
      </c>
      <c r="C4" s="8" t="inlineStr">
        <is>
          <t>3.3 Modality strategy</t>
        </is>
      </c>
      <c r="D4" s="8" t="inlineStr">
        <is>
          <t>Modality pooling choice</t>
        </is>
      </c>
      <c r="E4" s="8" t="inlineStr">
        <is>
          <t>Supporting</t>
        </is>
      </c>
      <c r="F4" s="8" t="inlineStr">
        <is>
          <t>Method choice</t>
        </is>
      </c>
      <c r="G4" s="8" t="inlineStr">
        <is>
          <t>Modality pooling decision</t>
        </is>
      </c>
      <c r="H4" s="8" t="inlineStr"/>
    </row>
    <row r="5">
      <c r="A5" s="3" t="inlineStr">
        <is>
          <t>E04</t>
        </is>
      </c>
      <c r="B5" s="3" t="inlineStr">
        <is>
          <t>Chapter 3</t>
        </is>
      </c>
      <c r="C5" s="3" t="inlineStr">
        <is>
          <t>3.4 Split design</t>
        </is>
      </c>
      <c r="D5" s="3" t="inlineStr">
        <is>
          <t>Split-strength stress evidence</t>
        </is>
      </c>
      <c r="E5" s="3" t="inlineStr">
        <is>
          <t>Supporting</t>
        </is>
      </c>
      <c r="F5" s="3" t="inlineStr">
        <is>
          <t>Method choice</t>
        </is>
      </c>
      <c r="G5" s="3" t="inlineStr">
        <is>
          <t>Strict split justification</t>
        </is>
      </c>
      <c r="H5" s="3" t="inlineStr"/>
    </row>
    <row r="6">
      <c r="A6" s="8" t="inlineStr">
        <is>
          <t>E05</t>
        </is>
      </c>
      <c r="B6" s="8" t="inlineStr">
        <is>
          <t>Chapter 3</t>
        </is>
      </c>
      <c r="C6" s="8" t="inlineStr">
        <is>
          <t>3.4 Transfer protocol</t>
        </is>
      </c>
      <c r="D6" s="8" t="inlineStr">
        <is>
          <t>Cross-person framing</t>
        </is>
      </c>
      <c r="E6" s="8" t="inlineStr">
        <is>
          <t>Supporting</t>
        </is>
      </c>
      <c r="F6" s="8" t="inlineStr">
        <is>
          <t>Method choice</t>
        </is>
      </c>
      <c r="G6" s="8" t="inlineStr">
        <is>
          <t>Frozen directional transfer protocol</t>
        </is>
      </c>
      <c r="H6" s="8" t="inlineStr"/>
    </row>
    <row r="7">
      <c r="A7" s="3" t="inlineStr">
        <is>
          <t>E06</t>
        </is>
      </c>
      <c r="B7" s="3" t="inlineStr">
        <is>
          <t>Chapter 3</t>
        </is>
      </c>
      <c r="C7" s="3" t="inlineStr">
        <is>
          <t>3.5 Model family</t>
        </is>
      </c>
      <c r="D7" s="3" t="inlineStr">
        <is>
          <t>Model comparison evidence</t>
        </is>
      </c>
      <c r="E7" s="3" t="inlineStr">
        <is>
          <t>Supporting</t>
        </is>
      </c>
      <c r="F7" s="3" t="inlineStr">
        <is>
          <t>Method choice</t>
        </is>
      </c>
      <c r="G7" s="3" t="inlineStr">
        <is>
          <t>Final model family lock</t>
        </is>
      </c>
      <c r="H7" s="3" t="inlineStr"/>
    </row>
    <row r="8">
      <c r="A8" s="8" t="inlineStr">
        <is>
          <t>E07</t>
        </is>
      </c>
      <c r="B8" s="8" t="inlineStr">
        <is>
          <t>Chapter 3</t>
        </is>
      </c>
      <c r="C8" s="8" t="inlineStr">
        <is>
          <t>3.5 Weighting policy</t>
        </is>
      </c>
      <c r="D8" s="8" t="inlineStr">
        <is>
          <t>Class-weighting evidence</t>
        </is>
      </c>
      <c r="E8" s="8" t="inlineStr">
        <is>
          <t>Supporting</t>
        </is>
      </c>
      <c r="F8" s="8" t="inlineStr">
        <is>
          <t>Method choice</t>
        </is>
      </c>
      <c r="G8" s="8" t="inlineStr">
        <is>
          <t>Weighting decision</t>
        </is>
      </c>
      <c r="H8" s="8" t="inlineStr"/>
    </row>
    <row r="9">
      <c r="A9" s="3" t="inlineStr">
        <is>
          <t>E08</t>
        </is>
      </c>
      <c r="B9" s="3" t="inlineStr">
        <is>
          <t>Chapter 3</t>
        </is>
      </c>
      <c r="C9" s="3" t="inlineStr">
        <is>
          <t>3.5 Tuning policy</t>
        </is>
      </c>
      <c r="D9" s="3" t="inlineStr">
        <is>
          <t>Tuning strategy evidence</t>
        </is>
      </c>
      <c r="E9" s="3" t="inlineStr">
        <is>
          <t>Supporting</t>
        </is>
      </c>
      <c r="F9" s="3" t="inlineStr">
        <is>
          <t>Method choice</t>
        </is>
      </c>
      <c r="G9" s="3" t="inlineStr">
        <is>
          <t>Fixed vs nested tuning</t>
        </is>
      </c>
      <c r="H9" s="3" t="inlineStr"/>
    </row>
    <row r="10">
      <c r="A10" s="8" t="inlineStr">
        <is>
          <t>E09</t>
        </is>
      </c>
      <c r="B10" s="8" t="inlineStr">
        <is>
          <t>Chapter 3</t>
        </is>
      </c>
      <c r="C10" s="8" t="inlineStr">
        <is>
          <t>3.2 Feature space</t>
        </is>
      </c>
      <c r="D10" s="8" t="inlineStr">
        <is>
          <t>Whole-brain vs ROI decision</t>
        </is>
      </c>
      <c r="E10" s="8" t="inlineStr">
        <is>
          <t>Supporting</t>
        </is>
      </c>
      <c r="F10" s="8" t="inlineStr">
        <is>
          <t>Method choice</t>
        </is>
      </c>
      <c r="G10" s="8" t="inlineStr">
        <is>
          <t>Feature representation lock</t>
        </is>
      </c>
      <c r="H10" s="8" t="inlineStr"/>
    </row>
    <row r="11">
      <c r="A11" s="3" t="inlineStr">
        <is>
          <t>E10</t>
        </is>
      </c>
      <c r="B11" s="3" t="inlineStr">
        <is>
          <t>Chapter 3</t>
        </is>
      </c>
      <c r="C11" s="3" t="inlineStr">
        <is>
          <t>3.2 Dimensionality</t>
        </is>
      </c>
      <c r="D11" s="3" t="inlineStr">
        <is>
          <t>Reduction strategy decision</t>
        </is>
      </c>
      <c r="E11" s="3" t="inlineStr">
        <is>
          <t>Supporting</t>
        </is>
      </c>
      <c r="F11" s="3" t="inlineStr">
        <is>
          <t>Method choice</t>
        </is>
      </c>
      <c r="G11" s="3" t="inlineStr">
        <is>
          <t>Complexity vs stability tradeoff</t>
        </is>
      </c>
      <c r="H11" s="3" t="inlineStr"/>
    </row>
    <row r="12">
      <c r="A12" s="8" t="inlineStr">
        <is>
          <t>E11</t>
        </is>
      </c>
      <c r="B12" s="8" t="inlineStr">
        <is>
          <t>Chapter 3</t>
        </is>
      </c>
      <c r="C12" s="8" t="inlineStr">
        <is>
          <t>3.2 Scaling</t>
        </is>
      </c>
      <c r="D12" s="8" t="inlineStr">
        <is>
          <t>Scaling sensitivity decision</t>
        </is>
      </c>
      <c r="E12" s="8" t="inlineStr">
        <is>
          <t>Supporting</t>
        </is>
      </c>
      <c r="F12" s="8" t="inlineStr">
        <is>
          <t>Method choice</t>
        </is>
      </c>
      <c r="G12" s="8" t="inlineStr">
        <is>
          <t>Scaling lock</t>
        </is>
      </c>
      <c r="H12" s="8" t="inlineStr"/>
    </row>
    <row r="13">
      <c r="A13" s="3" t="inlineStr">
        <is>
          <t>E12</t>
        </is>
      </c>
      <c r="B13" s="3" t="inlineStr">
        <is>
          <t>Chapter 4</t>
        </is>
      </c>
      <c r="C13" s="3" t="inlineStr">
        <is>
          <t>4.3 Robustness</t>
        </is>
      </c>
      <c r="D13" s="3" t="inlineStr">
        <is>
          <t>Permutation support</t>
        </is>
      </c>
      <c r="E13" s="3" t="inlineStr">
        <is>
          <t>Supporting</t>
        </is>
      </c>
      <c r="F13" s="3" t="inlineStr">
        <is>
          <t>Method application</t>
        </is>
      </c>
      <c r="G13" s="3" t="inlineStr">
        <is>
          <t>Beyond-chance evidence</t>
        </is>
      </c>
      <c r="H13" s="3" t="inlineStr"/>
    </row>
    <row r="14">
      <c r="A14" s="8" t="inlineStr">
        <is>
          <t>E13</t>
        </is>
      </c>
      <c r="B14" s="8" t="inlineStr">
        <is>
          <t>Chapter 4</t>
        </is>
      </c>
      <c r="C14" s="8" t="inlineStr">
        <is>
          <t>4.3 Robustness</t>
        </is>
      </c>
      <c r="D14" s="8" t="inlineStr">
        <is>
          <t>Trivial baseline support</t>
        </is>
      </c>
      <c r="E14" s="8" t="inlineStr">
        <is>
          <t>Supporting</t>
        </is>
      </c>
      <c r="F14" s="8" t="inlineStr">
        <is>
          <t>Method application</t>
        </is>
      </c>
      <c r="G14" s="8" t="inlineStr">
        <is>
          <t>Non-trivial predictive value</t>
        </is>
      </c>
      <c r="H14" s="8" t="inlineStr"/>
    </row>
    <row r="15">
      <c r="A15" s="3" t="inlineStr">
        <is>
          <t>E14</t>
        </is>
      </c>
      <c r="B15" s="3" t="inlineStr">
        <is>
          <t>Chapter 4</t>
        </is>
      </c>
      <c r="C15" s="3" t="inlineStr">
        <is>
          <t>4.3 Robustness</t>
        </is>
      </c>
      <c r="D15" s="3" t="inlineStr">
        <is>
          <t>Interpretability stability support</t>
        </is>
      </c>
      <c r="E15" s="3" t="inlineStr">
        <is>
          <t>Supporting</t>
        </is>
      </c>
      <c r="F15" s="3" t="inlineStr">
        <is>
          <t>Method application</t>
        </is>
      </c>
      <c r="G15" s="3" t="inlineStr">
        <is>
          <t>Model-behavior robustness</t>
        </is>
      </c>
      <c r="H15" s="3" t="inlineStr">
        <is>
          <t>No localization claim</t>
        </is>
      </c>
    </row>
    <row r="16">
      <c r="A16" s="8" t="inlineStr">
        <is>
          <t>E15</t>
        </is>
      </c>
      <c r="B16" s="8" t="inlineStr">
        <is>
          <t>Chapter 5</t>
        </is>
      </c>
      <c r="C16" s="8" t="inlineStr">
        <is>
          <t>5.2 Limitations</t>
        </is>
      </c>
      <c r="D16" s="8" t="inlineStr">
        <is>
          <t>Subset sensitivity discussion</t>
        </is>
      </c>
      <c r="E16" s="8" t="inlineStr">
        <is>
          <t>Supporting</t>
        </is>
      </c>
      <c r="F16" s="8" t="inlineStr">
        <is>
          <t>Discussion</t>
        </is>
      </c>
      <c r="G16" s="8" t="inlineStr">
        <is>
          <t>Bounds dependence on subsets</t>
        </is>
      </c>
      <c r="H16" s="8" t="inlineStr"/>
    </row>
    <row r="17">
      <c r="A17" s="3" t="inlineStr">
        <is>
          <t>E16</t>
        </is>
      </c>
      <c r="B17" s="3" t="inlineStr">
        <is>
          <t>Chapter 4</t>
        </is>
      </c>
      <c r="C17" s="3" t="inlineStr">
        <is>
          <t>4.1 Main results</t>
        </is>
      </c>
      <c r="D17" s="3" t="inlineStr">
        <is>
          <t>Within-person confirmatory evidence</t>
        </is>
      </c>
      <c r="E17" s="3" t="inlineStr">
        <is>
          <t>Main</t>
        </is>
      </c>
      <c r="F17" s="3" t="inlineStr">
        <is>
          <t>Method application</t>
        </is>
      </c>
      <c r="G17" s="3" t="inlineStr">
        <is>
          <t>Primary thesis claim</t>
        </is>
      </c>
      <c r="H17" s="3" t="inlineStr"/>
    </row>
    <row r="18">
      <c r="A18" s="8" t="inlineStr">
        <is>
          <t>E17</t>
        </is>
      </c>
      <c r="B18" s="8" t="inlineStr">
        <is>
          <t>Chapter 4</t>
        </is>
      </c>
      <c r="C18" s="8" t="inlineStr">
        <is>
          <t>4.2 Transfer results</t>
        </is>
      </c>
      <c r="D18" s="8" t="inlineStr">
        <is>
          <t>Cross-person transfer evidence</t>
        </is>
      </c>
      <c r="E18" s="8" t="inlineStr">
        <is>
          <t>Main</t>
        </is>
      </c>
      <c r="F18" s="8" t="inlineStr">
        <is>
          <t>Method application</t>
        </is>
      </c>
      <c r="G18" s="8" t="inlineStr">
        <is>
          <t>Secondary transfer claim</t>
        </is>
      </c>
      <c r="H18" s="8" t="inlineStr"/>
    </row>
    <row r="19">
      <c r="A19" s="3" t="inlineStr">
        <is>
          <t>E18</t>
        </is>
      </c>
      <c r="B19" s="3" t="inlineStr">
        <is>
          <t>Appendix</t>
        </is>
      </c>
      <c r="C19" s="3" t="inlineStr">
        <is>
          <t>A. External exploratory</t>
        </is>
      </c>
      <c r="D19" s="3" t="inlineStr">
        <is>
          <t>External split replication</t>
        </is>
      </c>
      <c r="E19" s="3" t="inlineStr">
        <is>
          <t>Supporting</t>
        </is>
      </c>
      <c r="F19" s="3" t="inlineStr">
        <is>
          <t>Discussion</t>
        </is>
      </c>
      <c r="G19" s="3" t="inlineStr">
        <is>
          <t>Exploratory external consistency</t>
        </is>
      </c>
      <c r="H19" s="3" t="inlineStr"/>
    </row>
    <row r="20">
      <c r="A20" s="8" t="inlineStr">
        <is>
          <t>E19</t>
        </is>
      </c>
      <c r="B20" s="8" t="inlineStr">
        <is>
          <t>Appendix</t>
        </is>
      </c>
      <c r="C20" s="8" t="inlineStr">
        <is>
          <t>A. External exploratory</t>
        </is>
      </c>
      <c r="D20" s="8" t="inlineStr">
        <is>
          <t>External model portability</t>
        </is>
      </c>
      <c r="E20" s="8" t="inlineStr">
        <is>
          <t>Supporting</t>
        </is>
      </c>
      <c r="F20" s="8" t="inlineStr">
        <is>
          <t>Discussion</t>
        </is>
      </c>
      <c r="G20" s="8" t="inlineStr">
        <is>
          <t>Exploratory portability check</t>
        </is>
      </c>
      <c r="H20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2" customWidth="1" min="4" max="4"/>
    <col width="16" customWidth="1" min="5" max="5"/>
    <col width="28" customWidth="1" min="6" max="6"/>
    <col width="10" customWidth="1" min="7" max="7"/>
    <col width="14" customWidth="1" min="8" max="8"/>
    <col width="14" customWidth="1" min="9" max="9"/>
    <col width="24" customWidth="1" min="11" max="11"/>
    <col width="80" customWidth="1" min="12" max="12"/>
  </cols>
  <sheetData>
    <row r="1">
      <c r="A1" s="9" t="inlineStr">
        <is>
          <t>Controlled vocabularies (drives dropdown validation)</t>
        </is>
      </c>
      <c r="K1" s="9" t="inlineStr">
        <is>
          <t>Term definitions</t>
        </is>
      </c>
    </row>
    <row r="2">
      <c r="A2" s="10" t="inlineStr">
        <is>
          <t>Category</t>
        </is>
      </c>
      <c r="B2" s="10" t="inlineStr">
        <is>
          <t>Evidential_Role</t>
        </is>
      </c>
      <c r="C2" s="10" t="inlineStr">
        <is>
          <t>Stage</t>
        </is>
      </c>
      <c r="D2" s="10" t="inlineStr">
        <is>
          <t>Priority</t>
        </is>
      </c>
      <c r="E2" s="10" t="inlineStr">
        <is>
          <t>Status</t>
        </is>
      </c>
      <c r="F2" s="10" t="inlineStr">
        <is>
          <t>Reporting_Destination</t>
        </is>
      </c>
      <c r="G2" s="10" t="inlineStr">
        <is>
          <t>Reviewed</t>
        </is>
      </c>
      <c r="H2" s="10" t="inlineStr">
        <is>
          <t>Used_in_Thesis</t>
        </is>
      </c>
      <c r="I2" s="10" t="inlineStr">
        <is>
          <t>Freeze_Status</t>
        </is>
      </c>
      <c r="K2" s="10" t="inlineStr">
        <is>
          <t>Term</t>
        </is>
      </c>
      <c r="L2" s="10" t="inlineStr">
        <is>
          <t>Definition</t>
        </is>
      </c>
    </row>
    <row r="3">
      <c r="A3" s="4" t="inlineStr">
        <is>
          <t>Target-definition</t>
        </is>
      </c>
      <c r="B3" s="4" t="inlineStr">
        <is>
          <t>Primary confirmatory</t>
        </is>
      </c>
      <c r="C3" s="4" t="inlineStr">
        <is>
          <t>Stage 0 - Program design</t>
        </is>
      </c>
      <c r="D3" s="4" t="inlineStr">
        <is>
          <t>Critical</t>
        </is>
      </c>
      <c r="E3" s="4" t="inlineStr">
        <is>
          <t>Planned</t>
        </is>
      </c>
      <c r="F3" s="4" t="inlineStr">
        <is>
          <t>Chapter 3 Method choice</t>
        </is>
      </c>
      <c r="G3" s="4" t="inlineStr">
        <is>
          <t>No</t>
        </is>
      </c>
      <c r="H3" s="4" t="inlineStr">
        <is>
          <t>No</t>
        </is>
      </c>
      <c r="I3" s="4" t="inlineStr">
        <is>
          <t>Open</t>
        </is>
      </c>
      <c r="K3" s="4" t="inlineStr">
        <is>
          <t>confirmatory</t>
        </is>
      </c>
      <c r="L3" s="3" t="inlineStr">
        <is>
          <t>Primary evidence analysis with pre-specified pipeline and decision rules.</t>
        </is>
      </c>
    </row>
    <row r="4">
      <c r="A4" s="11" t="inlineStr">
        <is>
          <t>Split-design</t>
        </is>
      </c>
      <c r="B4" s="11" t="inlineStr">
        <is>
          <t>Primary-supporting robustness</t>
        </is>
      </c>
      <c r="C4" s="11" t="inlineStr">
        <is>
          <t>Stage 1 - Method choice</t>
        </is>
      </c>
      <c r="D4" s="11" t="inlineStr">
        <is>
          <t>High</t>
        </is>
      </c>
      <c r="E4" s="11" t="inlineStr">
        <is>
          <t>Not started</t>
        </is>
      </c>
      <c r="F4" s="11" t="inlineStr">
        <is>
          <t>Chapter 4 Main results</t>
        </is>
      </c>
      <c r="G4" s="11" t="inlineStr">
        <is>
          <t>Yes</t>
        </is>
      </c>
      <c r="H4" s="11" t="inlineStr">
        <is>
          <t>Yes</t>
        </is>
      </c>
      <c r="I4" s="11" t="inlineStr">
        <is>
          <t>Locked</t>
        </is>
      </c>
      <c r="K4" s="11" t="inlineStr">
        <is>
          <t>decision-support</t>
        </is>
      </c>
      <c r="L4" s="8" t="inlineStr">
        <is>
          <t>Method-choice evidence used before confirmatory lock.</t>
        </is>
      </c>
    </row>
    <row r="5">
      <c r="A5" s="4" t="inlineStr">
        <is>
          <t>Model-comparison</t>
        </is>
      </c>
      <c r="B5" s="4" t="inlineStr">
        <is>
          <t>Secondary decision-support</t>
        </is>
      </c>
      <c r="C5" s="4" t="inlineStr">
        <is>
          <t>Stage 2 - Robustness support</t>
        </is>
      </c>
      <c r="D5" s="4" t="inlineStr">
        <is>
          <t>Medium</t>
        </is>
      </c>
      <c r="E5" s="4" t="inlineStr">
        <is>
          <t>Running</t>
        </is>
      </c>
      <c r="F5" s="4" t="inlineStr">
        <is>
          <t>Chapter 4 Supporting robustness</t>
        </is>
      </c>
      <c r="K5" s="4" t="inlineStr">
        <is>
          <t>exploratory</t>
        </is>
      </c>
      <c r="L5" s="3" t="inlineStr">
        <is>
          <t>Hypothesis-generating or extension analysis outside confirmatory core.</t>
        </is>
      </c>
    </row>
    <row r="6">
      <c r="A6" s="11" t="inlineStr">
        <is>
          <t>Preprocessing-feature</t>
        </is>
      </c>
      <c r="B6" s="11" t="inlineStr">
        <is>
          <t>Secondary decision-support / robustness</t>
        </is>
      </c>
      <c r="C6" s="11" t="inlineStr">
        <is>
          <t>Stage 3 - Confirmatory core</t>
        </is>
      </c>
      <c r="D6" s="11" t="inlineStr">
        <is>
          <t>Low</t>
        </is>
      </c>
      <c r="E6" s="11" t="inlineStr">
        <is>
          <t>Completed</t>
        </is>
      </c>
      <c r="F6" s="11" t="inlineStr">
        <is>
          <t>Chapter 5 Discussion</t>
        </is>
      </c>
      <c r="K6" s="11" t="inlineStr">
        <is>
          <t>construct validity</t>
        </is>
      </c>
      <c r="L6" s="8" t="inlineStr">
        <is>
          <t>How well operational labels/features represent the intended construct.</t>
        </is>
      </c>
    </row>
    <row r="7">
      <c r="A7" s="4" t="inlineStr">
        <is>
          <t>Robustness</t>
        </is>
      </c>
      <c r="B7" s="4" t="inlineStr">
        <is>
          <t>Exploratory extension</t>
        </is>
      </c>
      <c r="C7" s="4" t="inlineStr">
        <is>
          <t>Stage 4 - External exploratory</t>
        </is>
      </c>
      <c r="E7" s="4" t="inlineStr">
        <is>
          <t>On hold</t>
        </is>
      </c>
      <c r="F7" s="4" t="inlineStr">
        <is>
          <t>Appendix</t>
        </is>
      </c>
      <c r="K7" s="4" t="inlineStr">
        <is>
          <t>internal validity</t>
        </is>
      </c>
      <c r="L7" s="3" t="inlineStr">
        <is>
          <t>Protection against confounds and leakage in experiment design.</t>
        </is>
      </c>
    </row>
    <row r="8">
      <c r="A8" s="11" t="inlineStr">
        <is>
          <t>Confirmatory core</t>
        </is>
      </c>
      <c r="C8" s="11" t="inlineStr">
        <is>
          <t>Stage 5 - Thesis write-up</t>
        </is>
      </c>
      <c r="E8" s="11" t="inlineStr">
        <is>
          <t>Dropped</t>
        </is>
      </c>
      <c r="K8" s="11" t="inlineStr">
        <is>
          <t>statistical conclusion validity</t>
        </is>
      </c>
      <c r="L8" s="8" t="inlineStr">
        <is>
          <t>Reliability of inference from metrics and comparisons.</t>
        </is>
      </c>
    </row>
    <row r="9">
      <c r="A9" s="4" t="inlineStr">
        <is>
          <t>External exploratory</t>
        </is>
      </c>
      <c r="K9" s="4" t="inlineStr">
        <is>
          <t>external validity</t>
        </is>
      </c>
      <c r="L9" s="3" t="inlineStr">
        <is>
          <t>How far findings transfer to other settings/data.</t>
        </is>
      </c>
    </row>
    <row r="10">
      <c r="K10" s="11" t="inlineStr">
        <is>
          <t>leakage</t>
        </is>
      </c>
      <c r="L10" s="8" t="inlineStr">
        <is>
          <t>Information contamination across train-test boundaries that inflates performance.</t>
        </is>
      </c>
    </row>
    <row r="11">
      <c r="K11" s="4" t="inlineStr">
        <is>
          <t>domain shift</t>
        </is>
      </c>
      <c r="L11" s="3" t="inlineStr">
        <is>
          <t>Distribution mismatch between training and testing domains.</t>
        </is>
      </c>
    </row>
    <row r="12">
      <c r="K12" s="11" t="inlineStr">
        <is>
          <t>interpretability stability</t>
        </is>
      </c>
      <c r="L12" s="8" t="inlineStr">
        <is>
          <t>Consistency of model explanation signals across folds.</t>
        </is>
      </c>
    </row>
  </sheetData>
  <mergeCells count="2">
    <mergeCell ref="A1:I1"/>
    <mergeCell ref="K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3" customWidth="1" min="3" max="3"/>
    <col width="26" customWidth="1" min="4" max="4"/>
    <col width="10" customWidth="1" min="5" max="5"/>
    <col width="3" customWidth="1" min="6" max="6"/>
    <col width="34" customWidth="1" min="7" max="7"/>
    <col width="10" customWidth="1" min="8" max="8"/>
  </cols>
  <sheetData>
    <row r="1">
      <c r="A1" s="12" t="inlineStr">
        <is>
          <t>Dashboard</t>
        </is>
      </c>
    </row>
    <row r="3">
      <c r="A3" s="13" t="inlineStr">
        <is>
          <t>Program state summary</t>
        </is>
      </c>
      <c r="D3" s="13" t="inlineStr">
        <is>
          <t>Experiments by category</t>
        </is>
      </c>
      <c r="G3" s="13" t="inlineStr">
        <is>
          <t>Experiments by evidential role</t>
        </is>
      </c>
    </row>
    <row r="4">
      <c r="A4" s="11" t="inlineStr">
        <is>
          <t>Total number of experiments</t>
        </is>
      </c>
      <c r="B4" s="11">
        <f>COUNTA(Master_Experiments!$A$2:$A$200)</f>
        <v/>
      </c>
      <c r="D4" s="4">
        <f>Dictionary_Validation!A3</f>
        <v/>
      </c>
      <c r="E4" s="4">
        <f>COUNTIF(Master_Experiments!$C:$C,D4)</f>
        <v/>
      </c>
      <c r="G4" s="14">
        <f>Dictionary_Validation!B3</f>
        <v/>
      </c>
      <c r="H4" s="4">
        <f>COUNTIF(Master_Experiments!$D:$D,G4)</f>
        <v/>
      </c>
    </row>
    <row r="5">
      <c r="A5" s="4" t="inlineStr">
        <is>
          <t>Completed experiments</t>
        </is>
      </c>
      <c r="B5" s="4">
        <f>COUNTIF(Master_Experiments!$AA$2:$AA$200,"Completed")</f>
        <v/>
      </c>
      <c r="D5" s="4">
        <f>Dictionary_Validation!A4</f>
        <v/>
      </c>
      <c r="E5" s="4">
        <f>COUNTIF(Master_Experiments!$C:$C,D5)</f>
        <v/>
      </c>
      <c r="G5" s="14">
        <f>Dictionary_Validation!B4</f>
        <v/>
      </c>
      <c r="H5" s="4">
        <f>COUNTIF(Master_Experiments!$D:$D,G5)</f>
        <v/>
      </c>
    </row>
    <row r="6">
      <c r="A6" s="11" t="inlineStr">
        <is>
          <t>Critical experiments completed</t>
        </is>
      </c>
      <c r="B6" s="11">
        <f>COUNTIFS(Master_Experiments!$F$2:$F$200,"Critical",Master_Experiments!$AA$2:$AA$200,"Completed")</f>
        <v/>
      </c>
      <c r="D6" s="4">
        <f>Dictionary_Validation!A5</f>
        <v/>
      </c>
      <c r="E6" s="4">
        <f>COUNTIF(Master_Experiments!$C:$C,D6)</f>
        <v/>
      </c>
      <c r="G6" s="14">
        <f>Dictionary_Validation!B5</f>
        <v/>
      </c>
      <c r="H6" s="4">
        <f>COUNTIF(Master_Experiments!$D:$D,G6)</f>
        <v/>
      </c>
    </row>
    <row r="7">
      <c r="A7" s="4" t="inlineStr">
        <is>
          <t>Open decisions</t>
        </is>
      </c>
      <c r="B7" s="4">
        <f>COUNTIF(Decision_Log!$K$2:$K$200,"Open")</f>
        <v/>
      </c>
      <c r="D7" s="4">
        <f>Dictionary_Validation!A6</f>
        <v/>
      </c>
      <c r="E7" s="4">
        <f>COUNTIF(Master_Experiments!$C:$C,D7)</f>
        <v/>
      </c>
      <c r="G7" s="14">
        <f>Dictionary_Validation!B6</f>
        <v/>
      </c>
      <c r="H7" s="4">
        <f>COUNTIF(Master_Experiments!$D:$D,G7)</f>
        <v/>
      </c>
    </row>
    <row r="8">
      <c r="A8" s="11" t="inlineStr">
        <is>
          <t>Locked decisions</t>
        </is>
      </c>
      <c r="B8" s="11">
        <f>COUNTIF(Decision_Log!$K$2:$K$200,"Locked")</f>
        <v/>
      </c>
      <c r="D8" s="4">
        <f>Dictionary_Validation!A7</f>
        <v/>
      </c>
      <c r="E8" s="4">
        <f>COUNTIF(Master_Experiments!$C:$C,D8)</f>
        <v/>
      </c>
      <c r="G8" s="14">
        <f>Dictionary_Validation!B7</f>
        <v/>
      </c>
      <c r="H8" s="4">
        <f>COUNTIF(Master_Experiments!$D:$D,G8)</f>
        <v/>
      </c>
    </row>
    <row r="9">
      <c r="A9" s="4" t="inlineStr">
        <is>
          <t>Target locked?</t>
        </is>
      </c>
      <c r="B9" s="4">
        <f>IF(COUNTIFS(Decision_Log!$A:$A,"D01",Decision_Log!$K:$K,"Locked")&gt;0,"YES","NO")</f>
        <v/>
      </c>
      <c r="D9" s="4">
        <f>Dictionary_Validation!A8</f>
        <v/>
      </c>
      <c r="E9" s="4">
        <f>COUNTIF(Master_Experiments!$C:$C,D9)</f>
        <v/>
      </c>
    </row>
    <row r="10">
      <c r="A10" s="11" t="inlineStr">
        <is>
          <t>Split locked?</t>
        </is>
      </c>
      <c r="B10" s="11">
        <f>IF(COUNTIFS(Decision_Log!$A:$A,"D02",Decision_Log!$K:$K,"Locked")&gt;0,"YES","NO")</f>
        <v/>
      </c>
      <c r="D10" s="4">
        <f>Dictionary_Validation!A9</f>
        <v/>
      </c>
      <c r="E10" s="4">
        <f>COUNTIF(Master_Experiments!$C:$C,D10)</f>
        <v/>
      </c>
    </row>
    <row r="11">
      <c r="A11" s="4" t="inlineStr">
        <is>
          <t>Model locked?</t>
        </is>
      </c>
      <c r="B11" s="4">
        <f>IF(COUNTIFS(Decision_Log!$A:$A,"D03",Decision_Log!$K:$K,"Locked")&gt;0,"YES","NO")</f>
        <v/>
      </c>
    </row>
    <row r="12">
      <c r="A12" s="11" t="inlineStr">
        <is>
          <t>Feature pipeline locked?</t>
        </is>
      </c>
      <c r="B12" s="11">
        <f>IF(AND(COUNTIFS(Decision_Log!$A:$A,"D06",Decision_Log!$K:$K,"Locked")&gt;0,COUNTIFS(Decision_Log!$A:$A,"D07",Decision_Log!$K:$K,"Locked")&gt;0),"YES","NO")</f>
        <v/>
      </c>
    </row>
    <row r="13">
      <c r="A13" s="4" t="inlineStr">
        <is>
          <t>Confirmatory ready?</t>
        </is>
      </c>
      <c r="B13" s="4">
        <f>IF(AND(B9="YES",B10="YES",B11="YES",B12="YES",COUNTIFS(Confirmatory_Set!$I:$I,"YES")&gt;=5),"YES","NO")</f>
        <v/>
      </c>
    </row>
    <row r="14">
      <c r="A14" s="11" t="inlineStr">
        <is>
          <t>Experiments mapped to Chapter 4 main results</t>
        </is>
      </c>
      <c r="B14" s="11">
        <f>COUNTIFS(Thesis_Map!$B$2:$B$200,"Chapter 4",Thesis_Map!$E$2:$E$200,"Main")</f>
        <v/>
      </c>
    </row>
    <row r="15">
      <c r="A15" s="4" t="inlineStr">
        <is>
          <t>Experiments mapped only to Appendix</t>
        </is>
      </c>
      <c r="B15" s="4">
        <f>COUNTIF(Thesis_Map!$B$2:$B$200,"Appendix")</f>
        <v/>
      </c>
    </row>
  </sheetData>
  <mergeCells count="4">
    <mergeCell ref="D3:E3"/>
    <mergeCell ref="A3:B3"/>
    <mergeCell ref="G3:H3"/>
    <mergeCell ref="A1:H1"/>
  </mergeCells>
  <conditionalFormatting sqref="B9:B13">
    <cfRule type="expression" priority="1" dxfId="0">
      <formula>B9="YES"</formula>
    </cfRule>
    <cfRule type="expression" priority="2" dxfId="4">
      <formula>B9="NO"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2026-03-11T06:06:35Z</dcterms:created>
  <dcterms:modified xsi:type="dcterms:W3CDTF">2026-03-11T06:06:36Z</dcterms:modified>
</cp:coreProperties>
</file>