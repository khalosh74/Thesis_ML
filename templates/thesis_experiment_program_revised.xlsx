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24.xml" ContentType="application/vnd.openxmlformats-officedocument.spreadsheetml.worksheet+xml"/>
  <Override PartName="/xl/tables/table27.xml" ContentType="application/vnd.openxmlformats-officedocument.spreadsheetml.table+xml"/>
  <Override PartName="/xl/worksheets/sheet25.xml" ContentType="application/vnd.openxmlformats-officedocument.spreadsheetml.worksheet+xml"/>
  <Override PartName="/xl/tables/table28.xml" ContentType="application/vnd.openxmlformats-officedocument.spreadsheetml.table+xml"/>
  <Override PartName="/xl/worksheets/sheet26.xml" ContentType="application/vnd.openxmlformats-officedocument.spreadsheetml.worksheet+xml"/>
  <Override PartName="/xl/tables/table29.xml" ContentType="application/vnd.openxmlformats-officedocument.spreadsheetml.table+xml"/>
  <Override PartName="/xl/worksheets/sheet27.xml" ContentType="application/vnd.openxmlformats-officedocument.spreadsheetml.worksheet+xml"/>
  <Override PartName="/xl/tables/table30.xml" ContentType="application/vnd.openxmlformats-officedocument.spreadsheetml.table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ables/table31.xml" ContentType="application/vnd.openxmlformats-officedocument.spreadsheetml.table+xml"/>
  <Override PartName="/xl/worksheets/sheet31.xml" ContentType="application/vnd.openxmlformats-officedocument.spreadsheetml.worksheet+xml"/>
  <Override PartName="/xl/tables/table32.xml" ContentType="application/vnd.openxmlformats-officedocument.spreadsheetml.table+xml"/>
  <Override PartName="/xl/worksheets/sheet32.xml" ContentType="application/vnd.openxmlformats-officedocument.spreadsheetml.worksheet+xml"/>
  <Override PartName="/xl/tables/table3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838633e84c41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d8cd4bbe24a48a8"/>
    <x:sheet xmlns:r="http://schemas.openxmlformats.org/officeDocument/2006/relationships" name="Master_Experiments" sheetId="2" r:id="Rd119822aa31d49fd"/>
    <x:sheet xmlns:r="http://schemas.openxmlformats.org/officeDocument/2006/relationships" name="Experiment_Definitions" sheetId="3" r:id="Rad84a77069fb4c26"/>
    <x:sheet xmlns:r="http://schemas.openxmlformats.org/officeDocument/2006/relationships" name="Search_Spaces" sheetId="4" r:id="R85ee22b8101e41bf"/>
    <x:sheet xmlns:r="http://schemas.openxmlformats.org/officeDocument/2006/relationships" name="Study_Design" sheetId="5" r:id="R9b6775fe9ab748b4"/>
    <x:sheet xmlns:r="http://schemas.openxmlformats.org/officeDocument/2006/relationships" name="Study_Rigor_Checklist" sheetId="6" r:id="R21c4dadb2f1e4557"/>
    <x:sheet xmlns:r="http://schemas.openxmlformats.org/officeDocument/2006/relationships" name="Analysis_Plan" sheetId="7" r:id="R94d83a638f674de3"/>
    <x:sheet xmlns:r="http://schemas.openxmlformats.org/officeDocument/2006/relationships" name="Factors" sheetId="8" r:id="R2f188b1c2df64fb8"/>
    <x:sheet xmlns:r="http://schemas.openxmlformats.org/officeDocument/2006/relationships" name="Fixed_Controls" sheetId="9" r:id="Rbfa61478a55d47a3"/>
    <x:sheet xmlns:r="http://schemas.openxmlformats.org/officeDocument/2006/relationships" name="Constraints" sheetId="10" r:id="R095a91f48b804057"/>
    <x:sheet xmlns:r="http://schemas.openxmlformats.org/officeDocument/2006/relationships" name="Blocking_and_Replication" sheetId="11" r:id="Rc36efcd2e8354b16"/>
    <x:sheet xmlns:r="http://schemas.openxmlformats.org/officeDocument/2006/relationships" name="Generated_Design_Matrix" sheetId="12" r:id="Ra9cf7428dc514c76"/>
    <x:sheet xmlns:r="http://schemas.openxmlformats.org/officeDocument/2006/relationships" name="Effect_Summaries" sheetId="13" r:id="R74847cdcb45b4a6a"/>
    <x:sheet xmlns:r="http://schemas.openxmlformats.org/officeDocument/2006/relationships" name="Study_Review" sheetId="14" r:id="R5364041c4fe64dfc"/>
    <x:sheet xmlns:r="http://schemas.openxmlformats.org/officeDocument/2006/relationships" name="Artifact_Registry" sheetId="15" r:id="R214b8c73c8db4252"/>
    <x:sheet xmlns:r="http://schemas.openxmlformats.org/officeDocument/2006/relationships" name="Fixed_Configs" sheetId="16" r:id="Rd89f4000f12d40f8"/>
    <x:sheet xmlns:r="http://schemas.openxmlformats.org/officeDocument/2006/relationships" name="Objectives" sheetId="17" r:id="R1f5c3ca4d6044bf1"/>
    <x:sheet xmlns:r="http://schemas.openxmlformats.org/officeDocument/2006/relationships" name="Machine_Status" sheetId="18" r:id="R6515266eef504aa2"/>
    <x:sheet xmlns:r="http://schemas.openxmlformats.org/officeDocument/2006/relationships" name="Trial_Results" sheetId="19" r:id="R8812639a97634e19"/>
    <x:sheet xmlns:r="http://schemas.openxmlformats.org/officeDocument/2006/relationships" name="Summary_Outputs" sheetId="20" r:id="R0c2ccc9e25434c30"/>
    <x:sheet xmlns:r="http://schemas.openxmlformats.org/officeDocument/2006/relationships" name="Data_Selection_Design" sheetId="21" r:id="Rbdb47f1d5e834a5b"/>
    <x:sheet xmlns:r="http://schemas.openxmlformats.org/officeDocument/2006/relationships" name="Grouping_Strategy_Map" sheetId="22" r:id="Rcf5298a314504a57"/>
    <x:sheet xmlns:r="http://schemas.openxmlformats.org/officeDocument/2006/relationships" name="Data_Profile" sheetId="23" r:id="R1e91f2373e0f491f"/>
    <x:sheet xmlns:r="http://schemas.openxmlformats.org/officeDocument/2006/relationships" name="Run_Log" sheetId="24" r:id="R76effa300d9c461e"/>
    <x:sheet xmlns:r="http://schemas.openxmlformats.org/officeDocument/2006/relationships" name="Decision_Log" sheetId="25" r:id="Rf9d8a1e1f6994a22"/>
    <x:sheet xmlns:r="http://schemas.openxmlformats.org/officeDocument/2006/relationships" name="Confirmatory_Set" sheetId="26" r:id="Re23a66badd614f79"/>
    <x:sheet xmlns:r="http://schemas.openxmlformats.org/officeDocument/2006/relationships" name="Thesis_Map" sheetId="27" r:id="Rb970f57ce6254eba"/>
    <x:sheet xmlns:r="http://schemas.openxmlformats.org/officeDocument/2006/relationships" name="Dictionary_Validation" sheetId="28" r:id="R770ac674ce564f51"/>
    <x:sheet xmlns:r="http://schemas.openxmlformats.org/officeDocument/2006/relationships" name="Dashboard" sheetId="29" r:id="Raacfd58c309f41e8"/>
    <x:sheet xmlns:r="http://schemas.openxmlformats.org/officeDocument/2006/relationships" name="Claim_Ledger" sheetId="30" r:id="Rb5b472bbbc714784"/>
    <x:sheet xmlns:r="http://schemas.openxmlformats.org/officeDocument/2006/relationships" name="AI_Usage_Log" sheetId="31" r:id="Rc4aedef20082402e"/>
    <x:sheet xmlns:r="http://schemas.openxmlformats.org/officeDocument/2006/relationships" name="Ethics_Governance_Notes" sheetId="32" r:id="Rb8c1f3d457894261"/>
  </x:sheets>
  <x:definedNames>
    <x:definedName name="List_Experiment_ID">'Master_Experiments'!$A$2:INDEX('Master_Experiments'!$A:$A,MATCH("zzz",'Master_Experiments'!$A:$A))</x:definedName>
    <x:definedName name="List_Search_Space_ID">'Search_Spaces'!$A$3:INDEX('Search_Spaces'!$A:$A,MATCH("zzz",'Search_Spaces'!$A:$A))</x:definedName>
    <x:definedName name="List_Study_ID">'Study_Design'!$A$3:INDEX('Study_Design'!$A:$A,MATCH("zzz",'Study_Design'!$A:$A))</x:definedName>
    <x:definedName name="List_Data_Slice_ID">'Data_Selection_Design'!$A$2:INDEX('Data_Selection_Design'!$A:$A,MATCH("zzz",'Data_Selection_Design'!$A:$A))</x:definedName>
    <x:definedName name="List_Grouping_Strategy_ID">'Grouping_Strategy_Map'!$A$2:INDEX('Grouping_Strategy_Map'!$A:$A,MATCH("zzz",'Grouping_Strategy_Map'!$A:$A))</x:definedName>
    <x:definedName name="List_Category">'Dictionary_Validation'!$A$3:$A$9</x:definedName>
    <x:definedName name="List_Evidential_Role">'Dictionary_Validation'!$B$3:$B$7</x:definedName>
    <x:definedName name="List_Stage">'Dictionary_Validation'!$C$3:$C$9</x:definedName>
    <x:definedName name="List_Priority">'Dictionary_Validation'!$D$3:$D$6</x:definedName>
    <x:definedName name="List_Status">'Dictionary_Validation'!$E$3:$E$8</x:definedName>
    <x:definedName name="List_Reporting_Destination">'Dictionary_Validation'!$F$3:$F$7</x:definedName>
    <x:definedName name="List_Reviewed">'Dictionary_Validation'!$G$3:$G$4</x:definedName>
    <x:definedName name="List_Used_in_Thesis">'Dictionary_Validation'!$H$3:$H$4</x:definedName>
    <x:definedName name="List_Freeze_Status">'Dictionary_Validation'!$I$3:$I$4</x:definedName>
    <x:definedName name="List_Run_Type">'Dictionary_Validation'!$J$3:$J$7</x:definedName>
    <x:definedName name="List_Affects_Frozen_Pipeline">'Dictionary_Validation'!$K$3:$K$4</x:definedName>
    <x:definedName name="List_Eligible_for_Method_Decision">'Dictionary_Validation'!$L$3:$L$4</x:definedName>
    <x:definedName name="List_Claim_Type">'Dictionary_Validation'!$M$3:$M$6</x:definedName>
    <x:definedName name="List_Evidence_Status">'Dictionary_Validation'!$N$3:$N$5</x:definedName>
    <x:definedName name="List_Writing_Location">'Dictionary_Validation'!$O$3:$O$6</x:definedName>
    <x:definedName name="List_Human_Verification_Status">'Dictionary_Validation'!$P$3:$P$5</x:definedName>
    <x:definedName name="List_Ethics_Status">'Dictionary_Validation'!$Q$3:$Q$5</x:definedName>
    <x:definedName name="List_Ethics_Topic">'Dictionary_Validation'!$R$3:$R$8</x:definedName>
    <x:definedName name="List_Required_for_Main_Claim">'Dictionary_Validation'!$S$3:$S$4</x:definedName>
    <x:definedName name="List_Ready_for_Chapter_4">'Dictionary_Validation'!$T$3:$T$4</x:definedName>
    <x:definedName name="List_YesNo">'Dictionary_Validation'!$U$3:$U$4</x:definedName>
    <x:definedName name="List_Subject_Scope">'Dictionary_Validation'!$V$3:$V$5</x:definedName>
    <x:definedName name="List_Session_Scope">'Dictionary_Validation'!$W$3:$W$7</x:definedName>
    <x:definedName name="List_Task_Scope">'Dictionary_Validation'!$X$3:$X$7</x:definedName>
    <x:definedName name="List_Modality_Scope">'Dictionary_Validation'!$Y$3:$Y$6</x:definedName>
    <x:definedName name="List_Class_Balance_Policy">'Dictionary_Validation'!$Z$3:$Z$6</x:definedName>
    <x:definedName name="List_Split_Family">'Dictionary_Validation'!$AA$3:$AA$7</x:definedName>
    <x:definedName name="List_Imbalance_Status">'Dictionary_Validation'!$AB$3:$AB$6</x:definedName>
    <x:definedName name="List_Leakage_Check_Status">'Dictionary_Validation'!$AC$3:$AC$6</x:definedName>
    <x:definedName name="List_Thesis_Use_Tag">'Dictionary_Validation'!$AD$3:$AD$7</x:definedName>
    <x:definedName name="List_Use_Case">'Dictionary_Validation'!$AE$3:$AE$9</x:definedName>
    <x:definedName name="List_Group_Unit">'Dictionary_Validation'!$AF$3:$AF$9</x:definedName>
    <x:definedName name="List_Grouping_Level">'Dictionary_Validation'!$AG$3:$AG$9</x:definedName>
    <x:definedName name="List_Transfer_Direction">'Dictionary_Validation'!$AH$3:$AH$7</x:definedName>
    <x:definedName name="List_Leakage_Risk_Level">'Dictionary_Validation'!$AI$3:$AI$6</x:definedName>
    <x:definedName name="List_Target_Type">'Dictionary_Validation'!$AJ$3:$AJ$6</x:definedName>
    <x:definedName name="List_Execution_Section">'Dictionary_Validation'!$AK$3:$AK$9</x:definedName>
    <x:definedName name="List_Reuse_Policy">'Dictionary_Validation'!$AL$3:$AL$5</x:definedName>
    <x:definedName name="List_Search_Optimization_Mode">'Dictionary_Validation'!$AM$3:$AM$4</x:definedName>
    <x:definedName name="List_Search_Parameter_Scope">'Dictionary_Validation'!$AN$3:$AN$5</x:definedName>
    <x:definedName name="List_Study_Type">'Dictionary_Validation'!$AO$3:$AO$6</x:definedName>
    <x:definedName name="List_Study_Intent">'Dictionary_Validation'!$AP$3:$AP$4</x:definedName>
    <x:definedName name="List_Factor_Type">'Dictionary_Validation'!$AQ$3:$AQ$6</x:definedName>
    <x:definedName name="List_Replication_Mode">'Dictionary_Validation'!$AR$3:$AR$5</x:definedName>
    <x:definedName name="List_Replication_Strategy">'Dictionary_Validation'!$AS$3:$AS$6</x:definedName>
    <x:definedName name="List_Blocking_Strategy">'Dictionary_Validation'!$AT$3:$AT$7</x:definedName>
    <x:definedName name="List_Randomization_Strategy">'Dictionary_Validation'!$AU$3:$AU$7</x:definedName>
    <x:definedName name="List_Random_Seed_Policy">'Dictionary_Validation'!$AV$3:$AV$5</x:definedName>
    <x:definedName name="List_Block_Type">'Dictionary_Validation'!$AW$3:$AW$7</x:definedName>
    <x:definedName name="List_Design_Cell_Status">'Dictionary_Validation'!$AX$3:$AX$7</x:definedName>
    <x:definedName name="List_Aggregation_Level">'Dictionary_Validation'!$AY$3:$AY$7</x:definedName>
    <x:definedName name="List_Uncertainty_Method">'Dictionary_Validation'!$AZ$3:$AZ$7</x:definedName>
    <x:definedName name="List_Multiplicity_Handling">'Dictionary_Validation'!$BA$3:$BA$8</x:definedName>
    <x:definedName name="List_Interaction_Reporting_Policy">'Dictionary_Validation'!$BB$3:$BB$6</x:definedName>
    <x:definedName name="List_Study_Review_Disposition">'Dictionary_Validation'!$BC$3:$BC$5</x:definedName>
    <x:definedName name="List_Study_Eligibility_Status">'Dictionary_Validation'!$BD$3:$BD$5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color theme="1"/>
      <x:name val="Calibri"/>
    </x:font>
    <x:font>
      <x:b/>
      <x:sz val="16"/>
    </x:font>
    <x:font>
      <x:b/>
    </x:font>
    <x:font>
      <x:b/>
      <x:color rgb="FFFFFF"/>
    </x:font>
    <x:font>
      <x:b/>
      <x:sz val="12"/>
    </x:font>
    <x:font>
      <x:b/>
      <x:sz val="14"/>
    </x:font>
    <x:font>
      <x:b/>
      <x:sz val="11"/>
    </x:font>
    <x:font>
      <x:b/>
      <x:sz val="15"/>
    </x:font>
    <x:font>
      <x:i/>
      <x:color rgb="4B5563"/>
    </x:font>
  </x:fonts>
  <x:fills count="7">
    <x:fill>
      <x:patternFill patternType="none"/>
    </x:fill>
    <x:fill>
      <x:patternFill patternType="gray125"/>
    </x:fill>
    <x:fill>
      <x:patternFill patternType="solid">
        <x:fgColor rgb="D9E1F2"/>
      </x:patternFill>
    </x:fill>
    <x:fill>
      <x:patternFill patternType="solid">
        <x:fgColor rgb="EEF3FB"/>
      </x:patternFill>
    </x:fill>
    <x:fill>
      <x:patternFill patternType="solid">
        <x:fgColor rgb="FFF8E1"/>
      </x:patternFill>
    </x:fill>
    <x:fill>
      <x:patternFill patternType="solid">
        <x:fgColor rgb="1F4E78"/>
      </x:patternFill>
    </x:fill>
    <x:fill>
      <x:patternFill patternType="solid">
        <x:fgColor rgb="F8FAFC"/>
      </x:patternFill>
    </x:fill>
  </x:fills>
  <x:borders count="2">
    <x:border/>
    <x:border>
      <x:left style="thin">
        <x:color rgb="D0D7DE"/>
      </x:left>
      <x:right style="thin">
        <x:color rgb="D0D7DE"/>
      </x:right>
      <x:top style="thin">
        <x:color rgb="D0D7DE"/>
      </x:top>
      <x:bottom style="thin">
        <x:color rgb="D0D7DE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2" borderId="0" xfId="0" applyAlignment="1">
      <x:alignment horizontal="left"/>
    </x:xf>
    <x:xf numFmtId="0" fontId="2" fillId="3" borderId="1" xfId="0"/>
    <x:xf numFmtId="0" fontId="0" fillId="0" borderId="1" xfId="0" applyAlignment="1">
      <x:alignment vertical="top" wrapText="1"/>
    </x:xf>
    <x:xf numFmtId="0" fontId="0" fillId="0" borderId="1" xfId="0"/>
    <x:xf numFmtId="0" fontId="0" fillId="4" borderId="1" xfId="0" applyAlignment="1">
      <x:alignment vertical="top" wrapText="1"/>
    </x:xf>
    <x:xf numFmtId="0" fontId="8" fillId="0" borderId="0" xfId="0"/>
    <x:xf numFmtId="0" fontId="3" fillId="5" borderId="1" xfId="0" applyAlignment="1">
      <x:alignment horizontal="center" vertical="center" wrapText="1"/>
    </x:xf>
    <x:xf numFmtId="0" fontId="0" fillId="6" borderId="1" xfId="0" applyAlignment="1">
      <x:alignment vertical="top" wrapText="1"/>
    </x:xf>
    <x:xf numFmtId="0" fontId="4" fillId="2" borderId="0" xfId="0" applyAlignment="1">
      <x:alignment horizontal="left"/>
    </x:xf>
    <x:xf numFmtId="0" fontId="5" fillId="2" borderId="0" xfId="0" applyAlignment="1">
      <x:alignment horizontal="left"/>
    </x:xf>
    <x:xf numFmtId="0" fontId="2" fillId="3" borderId="0" xfId="0"/>
    <x:xf numFmtId="0" fontId="0" fillId="6" borderId="1" xfId="0"/>
    <x:xf numFmtId="0" fontId="6" fillId="3" borderId="1" xfId="0"/>
    <x:xf numFmtId="0" fontId="4" fillId="2" borderId="0" xfId="0"/>
    <x:xf numFmtId="0" fontId="3" fillId="5" borderId="0" xfId="0"/>
    <x:xf numFmtId="0" fontId="7" fillId="2" borderId="0" xfId="0"/>
    <x:xf numFmtId="0" fontId="4" fillId="3" borderId="0" xfId="0"/>
    <x:xf numFmtId="0" fontId="0" fillId="0" borderId="1" xfId="0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horizontal="left" wrapText="1"/>
    </x:xf>
    <x:xf numFmtId="0" fontId="7" fillId="2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ill>
        <x:patternFill>
          <x:bgColor rgb="00E2F0D9"/>
        </x:patternFill>
      </x:fill>
    </x:dxf>
    <x:dxf>
      <x:fill>
        <x:patternFill>
          <x:bgColor rgb="00FCE4D6"/>
        </x:patternFill>
      </x:fill>
    </x:dxf>
    <x:dxf>
      <x:fill>
        <x:patternFill>
          <x:bgColor rgb="00FFF2CC"/>
        </x:patternFill>
      </x:fill>
    </x:dxf>
    <x:dxf>
      <x:font>
        <x:i/>
        <x:color rgb="006E6E6E"/>
      </x:font>
      <x:fill>
        <x:patternFill>
          <x:bgColor rgb="00E7E6E6"/>
        </x:patternFill>
      </x:fill>
    </x:dxf>
    <x:dxf>
      <x:fill>
        <x:patternFill>
          <x:bgColor rgb="00FBE5E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364680ef8c4efd" /><Relationship Type="http://schemas.openxmlformats.org/officeDocument/2006/relationships/theme" Target="/xl/theme/theme1.xml" Id="R4d132386507b468e" /><Relationship Type="http://schemas.openxmlformats.org/officeDocument/2006/relationships/sharedStrings" Target="/xl/sharedStrings.xml" Id="R0d211ab9acab40cc" /><Relationship Type="http://schemas.openxmlformats.org/officeDocument/2006/relationships/worksheet" Target="/xl/worksheets/sheet1.xml" Id="R7d8cd4bbe24a48a8" /><Relationship Type="http://schemas.openxmlformats.org/officeDocument/2006/relationships/worksheet" Target="/xl/worksheets/sheet2.xml" Id="Rd119822aa31d49fd" /><Relationship Type="http://schemas.openxmlformats.org/officeDocument/2006/relationships/worksheet" Target="/xl/worksheets/sheet3.xml" Id="Rad84a77069fb4c26" /><Relationship Type="http://schemas.openxmlformats.org/officeDocument/2006/relationships/worksheet" Target="/xl/worksheets/sheet4.xml" Id="R85ee22b8101e41bf" /><Relationship Type="http://schemas.openxmlformats.org/officeDocument/2006/relationships/worksheet" Target="/xl/worksheets/sheet5.xml" Id="R9b6775fe9ab748b4" /><Relationship Type="http://schemas.openxmlformats.org/officeDocument/2006/relationships/worksheet" Target="/xl/worksheets/sheet6.xml" Id="R21c4dadb2f1e4557" /><Relationship Type="http://schemas.openxmlformats.org/officeDocument/2006/relationships/worksheet" Target="/xl/worksheets/sheet7.xml" Id="R94d83a638f674de3" /><Relationship Type="http://schemas.openxmlformats.org/officeDocument/2006/relationships/worksheet" Target="/xl/worksheets/sheet8.xml" Id="R2f188b1c2df64fb8" /><Relationship Type="http://schemas.openxmlformats.org/officeDocument/2006/relationships/worksheet" Target="/xl/worksheets/sheet9.xml" Id="Rbfa61478a55d47a3" /><Relationship Type="http://schemas.openxmlformats.org/officeDocument/2006/relationships/worksheet" Target="/xl/worksheets/sheet10.xml" Id="R095a91f48b804057" /><Relationship Type="http://schemas.openxmlformats.org/officeDocument/2006/relationships/worksheet" Target="/xl/worksheets/sheet11.xml" Id="Rc36efcd2e8354b16" /><Relationship Type="http://schemas.openxmlformats.org/officeDocument/2006/relationships/worksheet" Target="/xl/worksheets/sheet12.xml" Id="Ra9cf7428dc514c76" /><Relationship Type="http://schemas.openxmlformats.org/officeDocument/2006/relationships/worksheet" Target="/xl/worksheets/sheet13.xml" Id="R74847cdcb45b4a6a" /><Relationship Type="http://schemas.openxmlformats.org/officeDocument/2006/relationships/worksheet" Target="/xl/worksheets/sheet14.xml" Id="R5364041c4fe64dfc" /><Relationship Type="http://schemas.openxmlformats.org/officeDocument/2006/relationships/worksheet" Target="/xl/worksheets/sheet15.xml" Id="R214b8c73c8db4252" /><Relationship Type="http://schemas.openxmlformats.org/officeDocument/2006/relationships/worksheet" Target="/xl/worksheets/sheet16.xml" Id="Rd89f4000f12d40f8" /><Relationship Type="http://schemas.openxmlformats.org/officeDocument/2006/relationships/worksheet" Target="/xl/worksheets/sheet17.xml" Id="R1f5c3ca4d6044bf1" /><Relationship Type="http://schemas.openxmlformats.org/officeDocument/2006/relationships/worksheet" Target="/xl/worksheets/sheet18.xml" Id="R6515266eef504aa2" /><Relationship Type="http://schemas.openxmlformats.org/officeDocument/2006/relationships/worksheet" Target="/xl/worksheets/sheet19.xml" Id="R8812639a97634e19" /><Relationship Type="http://schemas.openxmlformats.org/officeDocument/2006/relationships/worksheet" Target="/xl/worksheets/sheet20.xml" Id="R0c2ccc9e25434c30" /><Relationship Type="http://schemas.openxmlformats.org/officeDocument/2006/relationships/worksheet" Target="/xl/worksheets/sheet21.xml" Id="Rbdb47f1d5e834a5b" /><Relationship Type="http://schemas.openxmlformats.org/officeDocument/2006/relationships/worksheet" Target="/xl/worksheets/sheet22.xml" Id="Rcf5298a314504a57" /><Relationship Type="http://schemas.openxmlformats.org/officeDocument/2006/relationships/worksheet" Target="/xl/worksheets/sheet23.xml" Id="R1e91f2373e0f491f" /><Relationship Type="http://schemas.openxmlformats.org/officeDocument/2006/relationships/worksheet" Target="/xl/worksheets/sheet24.xml" Id="R76effa300d9c461e" /><Relationship Type="http://schemas.openxmlformats.org/officeDocument/2006/relationships/worksheet" Target="/xl/worksheets/sheet25.xml" Id="Rf9d8a1e1f6994a22" /><Relationship Type="http://schemas.openxmlformats.org/officeDocument/2006/relationships/worksheet" Target="/xl/worksheets/sheet26.xml" Id="Re23a66badd614f79" /><Relationship Type="http://schemas.openxmlformats.org/officeDocument/2006/relationships/worksheet" Target="/xl/worksheets/sheet27.xml" Id="Rb970f57ce6254eba" /><Relationship Type="http://schemas.openxmlformats.org/officeDocument/2006/relationships/worksheet" Target="/xl/worksheets/sheet28.xml" Id="R770ac674ce564f51" /><Relationship Type="http://schemas.openxmlformats.org/officeDocument/2006/relationships/worksheet" Target="/xl/worksheets/sheet29.xml" Id="Raacfd58c309f41e8" /><Relationship Type="http://schemas.openxmlformats.org/officeDocument/2006/relationships/worksheet" Target="/xl/worksheets/sheet30.xml" Id="Rb5b472bbbc714784" /><Relationship Type="http://schemas.openxmlformats.org/officeDocument/2006/relationships/worksheet" Target="/xl/worksheets/sheet31.xml" Id="Rc4aedef20082402e" /><Relationship Type="http://schemas.openxmlformats.org/officeDocument/2006/relationships/worksheet" Target="/xl/worksheets/sheet32.xml" Id="Rb8c1f3d457894261" /></Relationships>
</file>

<file path=xl/tables/table1.xml><?xml version="1.0" encoding="utf-8"?>
<x:table xmlns:x="http://schemas.openxmlformats.org/spreadsheetml/2006/main" id="1" name="ExperimentDefinitionsTable" displayName="ExperimentDefinitionsTable" ref="A1:O81" headerRowCount="1">
  <x:autoFilter ref="A1:O81"/>
  <x:tableColumns count="15">
    <x:tableColumn id="1" name="experiment_id"/>
    <x:tableColumn id="2" name="enabled"/>
    <x:tableColumn id="3" name="start_section"/>
    <x:tableColumn id="4" name="end_section"/>
    <x:tableColumn id="5" name="base_artifact_id"/>
    <x:tableColumn id="6" name="target"/>
    <x:tableColumn id="7" name="cv"/>
    <x:tableColumn id="8" name="model"/>
    <x:tableColumn id="9" name="subject"/>
    <x:tableColumn id="10" name="train_subject"/>
    <x:tableColumn id="11" name="test_subject"/>
    <x:tableColumn id="12" name="filter_task"/>
    <x:tableColumn id="13" name="filter_modality"/>
    <x:tableColumn id="14" name="reuse_policy"/>
    <x:tableColumn id="15" name="search_space_id"/>
  </x:tableColumns>
  <x:tableStyleInfo name="TableStyleMedium2" showRowStripes="1"/>
</x:table>
</file>

<file path=xl/tables/table2.xml><?xml version="1.0" encoding="utf-8"?>
<x:table xmlns:x="http://schemas.openxmlformats.org/spreadsheetml/2006/main" id="2" name="SearchSpacesTable" displayName="SearchSpacesTable" ref="A2:I61" headerRowCount="1">
  <x:autoFilter ref="A2:I61"/>
  <x:tableColumns count="9">
    <x:tableColumn id="1" name="search_space_id"/>
    <x:tableColumn id="2" name="enabled"/>
    <x:tableColumn id="3" name="optimization_mode"/>
    <x:tableColumn id="4" name="parameter_name"/>
    <x:tableColumn id="5" name="parameter_values"/>
    <x:tableColumn id="6" name="parameter_scope"/>
    <x:tableColumn id="7" name="objective_metric"/>
    <x:tableColumn id="8" name="max_trials"/>
    <x:tableColumn id="9" name="notes"/>
  </x:tableColumns>
  <x:tableStyleInfo name="TableStyleMedium6" showRowStripes="1"/>
</x:table>
</file>

<file path=xl/tables/table3.xml><?xml version="1.0" encoding="utf-8"?>
<x:table xmlns:x="http://schemas.openxmlformats.org/spreadsheetml/2006/main" id="3" name="StudyDesignTable" displayName="StudyDesignTable" ref="A2:W61" headerRowCount="1">
  <x:autoFilter ref="A2:W61"/>
  <x:tableColumns count="23">
    <x:tableColumn id="1" name="study_id"/>
    <x:tableColumn id="2" name="study_name"/>
    <x:tableColumn id="3" name="enabled"/>
    <x:tableColumn id="4" name="study_type"/>
    <x:tableColumn id="5" name="intent"/>
    <x:tableColumn id="6" name="question"/>
    <x:tableColumn id="7" name="generalization_claim"/>
    <x:tableColumn id="8" name="start_section"/>
    <x:tableColumn id="9" name="end_section"/>
    <x:tableColumn id="10" name="base_artifact_id"/>
    <x:tableColumn id="11" name="primary_metric"/>
    <x:tableColumn id="12" name="secondary_metrics"/>
    <x:tableColumn id="13" name="cv_scheme"/>
    <x:tableColumn id="14" name="nested_cv"/>
    <x:tableColumn id="15" name="external_validation_planned"/>
    <x:tableColumn id="16" name="blocking_strategy"/>
    <x:tableColumn id="17" name="randomization_strategy"/>
    <x:tableColumn id="18" name="replication_mode"/>
    <x:tableColumn id="19" name="replication_strategy"/>
    <x:tableColumn id="20" name="num_repeats"/>
    <x:tableColumn id="21" name="random_seed_policy"/>
    <x:tableColumn id="22" name="stopping_rule"/>
    <x:tableColumn id="23" name="notes"/>
  </x:tableColumns>
  <x:tableStyleInfo name="TableStyleMedium6" showRowStripes="1"/>
</x:table>
</file>

<file path=xl/tables/table4.xml><?xml version="1.0" encoding="utf-8"?>
<x:table xmlns:x="http://schemas.openxmlformats.org/spreadsheetml/2006/main" id="4" name="StudyRigorChecklistTable" displayName="StudyRigorChecklistTable" ref="A2:M61" headerRowCount="1">
  <x:autoFilter ref="A2:M61"/>
  <x:tableColumns count="13">
    <x:tableColumn id="1" name="study_id"/>
    <x:tableColumn id="2" name="leakage_risk_reviewed"/>
    <x:tableColumn id="3" name="deployment_boundary_defined"/>
    <x:tableColumn id="4" name="unit_of_analysis_defined"/>
    <x:tableColumn id="5" name="data_hierarchy_defined"/>
    <x:tableColumn id="6" name="missing_data_plan"/>
    <x:tableColumn id="7" name="class_imbalance_plan"/>
    <x:tableColumn id="8" name="subgroup_plan"/>
    <x:tableColumn id="9" name="fairness_or_applicability_notes"/>
    <x:tableColumn id="10" name="reporting_checklist_completed"/>
    <x:tableColumn id="11" name="risk_of_bias_reviewed"/>
    <x:tableColumn id="12" name="confirmatory_lock_applied"/>
    <x:tableColumn id="13" name="analysis_notes"/>
  </x:tableColumns>
  <x:tableStyleInfo name="TableStyleMedium6" showRowStripes="1"/>
</x:table>
</file>

<file path=xl/tables/table5.xml><?xml version="1.0" encoding="utf-8"?>
<x:table xmlns:x="http://schemas.openxmlformats.org/spreadsheetml/2006/main" id="5" name="AnalysisPlanTable" displayName="AnalysisPlanTable" ref="A2:I61" headerRowCount="1">
  <x:autoFilter ref="A2:I61"/>
  <x:tableColumns count="9">
    <x:tableColumn id="1" name="study_id"/>
    <x:tableColumn id="2" name="primary_contrast"/>
    <x:tableColumn id="3" name="secondary_contrasts"/>
    <x:tableColumn id="4" name="aggregation_level"/>
    <x:tableColumn id="5" name="uncertainty_method"/>
    <x:tableColumn id="6" name="multiplicity_handling"/>
    <x:tableColumn id="7" name="interaction_reporting_policy"/>
    <x:tableColumn id="8" name="interpretation_rules"/>
    <x:tableColumn id="9" name="notes"/>
  </x:tableColumns>
  <x:tableStyleInfo name="TableStyleMedium6" showRowStripes="1"/>
</x:table>
</file>

<file path=xl/tables/table6.xml><?xml version="1.0" encoding="utf-8"?>
<x:table xmlns:x="http://schemas.openxmlformats.org/spreadsheetml/2006/main" id="6" name="FactorsTable" displayName="FactorsTable" ref="A2:F61" headerRowCount="1">
  <x:autoFilter ref="A2:F61"/>
  <x:tableColumns count="6">
    <x:tableColumn id="1" name="study_id"/>
    <x:tableColumn id="2" name="factor_name"/>
    <x:tableColumn id="3" name="section_name"/>
    <x:tableColumn id="4" name="parameter_path"/>
    <x:tableColumn id="5" name="factor_type"/>
    <x:tableColumn id="6" name="levels"/>
  </x:tableColumns>
  <x:tableStyleInfo name="TableStyleMedium6" showRowStripes="1"/>
</x:table>
</file>

<file path=xl/tables/table7.xml><?xml version="1.0" encoding="utf-8"?>
<x:table xmlns:x="http://schemas.openxmlformats.org/spreadsheetml/2006/main" id="7" name="DesignFixedControlsTable" displayName="DesignFixedControlsTable" ref="A2:C61" headerRowCount="1">
  <x:autoFilter ref="A2:C61"/>
  <x:tableColumns count="3">
    <x:tableColumn id="1" name="study_id"/>
    <x:tableColumn id="2" name="parameter_path"/>
    <x:tableColumn id="3" name="value"/>
  </x:tableColumns>
  <x:tableStyleInfo name="TableStyleMedium6" showRowStripes="1"/>
</x:table>
</file>

<file path=xl/tables/table8.xml><?xml version="1.0" encoding="utf-8"?>
<x:table xmlns:x="http://schemas.openxmlformats.org/spreadsheetml/2006/main" id="8" name="DesignConstraintsTable" displayName="DesignConstraintsTable" ref="A2:F61" headerRowCount="1">
  <x:autoFilter ref="A2:F61"/>
  <x:tableColumns count="6">
    <x:tableColumn id="1" name="study_id"/>
    <x:tableColumn id="2" name="if_factor"/>
    <x:tableColumn id="3" name="if_level"/>
    <x:tableColumn id="4" name="disallow_factor"/>
    <x:tableColumn id="5" name="disallow_level"/>
    <x:tableColumn id="6" name="reason"/>
  </x:tableColumns>
  <x:tableStyleInfo name="TableStyleMedium6" showRowStripes="1"/>
</x:table>
</file>

<file path=xl/tables/table9.xml><?xml version="1.0" encoding="utf-8"?>
<x:table xmlns:x="http://schemas.openxmlformats.org/spreadsheetml/2006/main" id="9" name="BlockingReplicationTable" displayName="BlockingReplicationTable" ref="A2:E61" headerRowCount="1">
  <x:autoFilter ref="A2:E61"/>
  <x:tableColumns count="5">
    <x:tableColumn id="1" name="study_id"/>
    <x:tableColumn id="2" name="block_type"/>
    <x:tableColumn id="3" name="block_value"/>
    <x:tableColumn id="4" name="repeat_id"/>
    <x:tableColumn id="5" name="seed"/>
  </x:tableColumns>
  <x:tableStyleInfo name="TableStyleMedium6" showRowStripes="1"/>
</x:table>
</file>

<file path=xl/tables/table10.xml><?xml version="1.0" encoding="utf-8"?>
<x:table xmlns:x="http://schemas.openxmlformats.org/spreadsheetml/2006/main" id="10" name="GeneratedDesignMatrixTable" displayName="GeneratedDesignMatrixTable" ref="A2:I61" headerRowCount="1">
  <x:autoFilter ref="A2:I61"/>
  <x:tableColumns count="9">
    <x:tableColumn id="1" name="study_id"/>
    <x:tableColumn id="2" name="trial_id"/>
    <x:tableColumn id="3" name="cell_id"/>
    <x:tableColumn id="4" name="factor_settings_json"/>
    <x:tableColumn id="5" name="start_section"/>
    <x:tableColumn id="6" name="end_section"/>
    <x:tableColumn id="7" name="base_artifact_id"/>
    <x:tableColumn id="8" name="resolved_params_json"/>
    <x:tableColumn id="9" name="status"/>
  </x:tableColumns>
  <x:tableStyleInfo name="TableStyleMedium6" showRowStripes="1"/>
</x:table>
</file>

<file path=xl/tables/table11.xml><?xml version="1.0" encoding="utf-8"?>
<x:table xmlns:x="http://schemas.openxmlformats.org/spreadsheetml/2006/main" id="11" name="EffectSummariesTable" displayName="EffectSummariesTable" ref="A2:J61" headerRowCount="1">
  <x:autoFilter ref="A2:J61"/>
  <x:tableColumns count="10">
    <x:tableColumn id="1" name="study_id"/>
    <x:tableColumn id="2" name="summary_type"/>
    <x:tableColumn id="3" name="summary_key"/>
    <x:tableColumn id="4" name="factor_level_key"/>
    <x:tableColumn id="5" name="interaction_key"/>
    <x:tableColumn id="6" name="primary_metric_name"/>
    <x:tableColumn id="7" name="mean_primary_metric_value"/>
    <x:tableColumn id="8" name="best_primary_metric_value"/>
    <x:tableColumn id="9" name="best_trial_id"/>
    <x:tableColumn id="10" name="notes"/>
  </x:tableColumns>
  <x:tableStyleInfo name="TableStyleMedium6" showRowStripes="1"/>
</x:table>
</file>

<file path=xl/tables/table12.xml><?xml version="1.0" encoding="utf-8"?>
<x:table xmlns:x="http://schemas.openxmlformats.org/spreadsheetml/2006/main" id="12" name="StudyReviewTable" displayName="StudyReviewTable" ref="A2:AL61" headerRowCount="1">
  <x:autoFilter ref="A2:AL61"/>
  <x:tableColumns count="38">
    <x:tableColumn id="1" name="study_id"/>
    <x:tableColumn id="2" name="study_name"/>
    <x:tableColumn id="3" name="intent"/>
    <x:tableColumn id="4" name="execution_disposition"/>
    <x:tableColumn id="5" name="execution_eligibility_status"/>
    <x:tableColumn id="6" name="warning_count"/>
    <x:tableColumn id="7" name="error_count"/>
    <x:tableColumn id="8" name="missing_fields_json"/>
    <x:tableColumn id="9" name="warnings_json"/>
    <x:tableColumn id="10" name="errors_json"/>
    <x:tableColumn id="11" name="question"/>
    <x:tableColumn id="12" name="generalization_claim"/>
    <x:tableColumn id="13" name="start_section"/>
    <x:tableColumn id="14" name="end_section"/>
    <x:tableColumn id="15" name="factors_json"/>
    <x:tableColumn id="16" name="fixed_controls_json"/>
    <x:tableColumn id="17" name="constraints_json"/>
    <x:tableColumn id="18" name="excluded_combination_count"/>
    <x:tableColumn id="19" name="expected_design_cells"/>
    <x:tableColumn id="20" name="expected_trials"/>
    <x:tableColumn id="21" name="primary_metric"/>
    <x:tableColumn id="22" name="secondary_metrics"/>
    <x:tableColumn id="23" name="cv_scheme"/>
    <x:tableColumn id="24" name="nested_cv"/>
    <x:tableColumn id="25" name="external_validation_planned"/>
    <x:tableColumn id="26" name="blocking_strategy"/>
    <x:tableColumn id="27" name="randomization_strategy"/>
    <x:tableColumn id="28" name="replication_strategy"/>
    <x:tableColumn id="29" name="replication_mode"/>
    <x:tableColumn id="30" name="num_repeats"/>
    <x:tableColumn id="31" name="random_seed_policy"/>
    <x:tableColumn id="32" name="rigor_checklist_status"/>
    <x:tableColumn id="33" name="analysis_plan_status"/>
    <x:tableColumn id="34" name="completed_trials"/>
    <x:tableColumn id="35" name="failed_trials"/>
    <x:tableColumn id="36" name="blocked_trials"/>
    <x:tableColumn id="37" name="dry_run_trials"/>
    <x:tableColumn id="38" name="notes"/>
  </x:tableColumns>
  <x:tableStyleInfo name="TableStyleMedium6" showRowStripes="1"/>
</x:table>
</file>

<file path=xl/tables/table13.xml><?xml version="1.0" encoding="utf-8"?>
<x:table xmlns:x="http://schemas.openxmlformats.org/spreadsheetml/2006/main" id="13" name="WorkbookArtifactRegistryTable" displayName="WorkbookArtifactRegistryTable" ref="A2:J61" headerRowCount="1">
  <x:autoFilter ref="A2:J61"/>
  <x:tableColumns count="10">
    <x:tableColumn id="1" name="artifact_id"/>
    <x:tableColumn id="2" name="artifact_type"/>
    <x:tableColumn id="3" name="run_id"/>
    <x:tableColumn id="4" name="status"/>
    <x:tableColumn id="5" name="created_at"/>
    <x:tableColumn id="6" name="path"/>
    <x:tableColumn id="7" name="upstream_artifact_ids"/>
    <x:tableColumn id="8" name="config_hash"/>
    <x:tableColumn id="9" name="code_ref"/>
    <x:tableColumn id="10" name="notes"/>
  </x:tableColumns>
  <x:tableStyleInfo name="TableStyleMedium6" showRowStripes="1"/>
</x:table>
</file>

<file path=xl/tables/table14.xml><?xml version="1.0" encoding="utf-8"?>
<x:table xmlns:x="http://schemas.openxmlformats.org/spreadsheetml/2006/main" id="14" name="FixedConfigsTable" displayName="FixedConfigsTable" ref="A2:G61" headerRowCount="1">
  <x:autoFilter ref="A2:G61"/>
  <x:tableColumns count="7">
    <x:tableColumn id="1" name="config_key"/>
    <x:tableColumn id="2" name="config_value"/>
    <x:tableColumn id="3" name="scope"/>
    <x:tableColumn id="4" name="locked"/>
    <x:tableColumn id="5" name="owner"/>
    <x:tableColumn id="6" name="last_updated"/>
    <x:tableColumn id="7" name="notes"/>
  </x:tableColumns>
  <x:tableStyleInfo name="TableStyleMedium6" showRowStripes="1"/>
</x:table>
</file>

<file path=xl/tables/table15.xml><?xml version="1.0" encoding="utf-8"?>
<x:table xmlns:x="http://schemas.openxmlformats.org/spreadsheetml/2006/main" id="15" name="ObjectivesTable" displayName="ObjectivesTable" ref="A2:H61" headerRowCount="1">
  <x:autoFilter ref="A2:H61"/>
  <x:tableColumns count="8">
    <x:tableColumn id="1" name="objective_id"/>
    <x:tableColumn id="2" name="objective_text"/>
    <x:tableColumn id="3" name="stage"/>
    <x:tableColumn id="4" name="linked_experiment_id"/>
    <x:tableColumn id="5" name="primary_metric"/>
    <x:tableColumn id="6" name="success_criterion"/>
    <x:tableColumn id="7" name="status"/>
    <x:tableColumn id="8" name="notes"/>
  </x:tableColumns>
  <x:tableStyleInfo name="TableStyleMedium6" showRowStripes="1"/>
</x:table>
</file>

<file path=xl/tables/table16.xml><?xml version="1.0" encoding="utf-8"?>
<x:table xmlns:x="http://schemas.openxmlformats.org/spreadsheetml/2006/main" id="16" name="MachineStatusTable" displayName="MachineStatusTable" ref="A2:H61" headerRowCount="1">
  <x:autoFilter ref="A2:H61"/>
  <x:tableColumns count="8">
    <x:tableColumn id="1" name="machine_id"/>
    <x:tableColumn id="2" name="hostname"/>
    <x:tableColumn id="3" name="environment_name"/>
    <x:tableColumn id="4" name="python_version"/>
    <x:tableColumn id="5" name="gpu"/>
    <x:tableColumn id="6" name="status"/>
    <x:tableColumn id="7" name="last_checked"/>
    <x:tableColumn id="8" name="notes"/>
  </x:tableColumns>
  <x:tableStyleInfo name="TableStyleMedium6" showRowStripes="1"/>
</x:table>
</file>

<file path=xl/tables/table17.xml><?xml version="1.0" encoding="utf-8"?>
<x:table xmlns:x="http://schemas.openxmlformats.org/spreadsheetml/2006/main" id="17" name="TrialResultsTable" displayName="TrialResultsTable" ref="A2:N61" headerRowCount="1">
  <x:autoFilter ref="A2:N61"/>
  <x:tableColumns count="14">
    <x:tableColumn id="1" name="trial_id"/>
    <x:tableColumn id="2" name="experiment_id"/>
    <x:tableColumn id="3" name="run_id"/>
    <x:tableColumn id="4" name="status"/>
    <x:tableColumn id="5" name="primary_metric_name"/>
    <x:tableColumn id="6" name="primary_metric_value"/>
    <x:tableColumn id="7" name="report_path"/>
    <x:tableColumn id="8" name="metrics_path"/>
    <x:tableColumn id="9" name="artifact_bundle"/>
    <x:tableColumn id="10" name="notes"/>
    <x:tableColumn id="11" name="study_id"/>
    <x:tableColumn id="12" name="cell_id"/>
    <x:tableColumn id="13" name="factor_settings_json"/>
    <x:tableColumn id="14" name="resolved_params_json"/>
  </x:tableColumns>
  <x:tableStyleInfo name="TableStyleMedium6" showRowStripes="1"/>
</x:table>
</file>

<file path=xl/tables/table18.xml><?xml version="1.0" encoding="utf-8"?>
<x:table xmlns:x="http://schemas.openxmlformats.org/spreadsheetml/2006/main" id="18" name="SummaryOutputsTable" displayName="SummaryOutputsTable" ref="A2:N61" headerRowCount="1">
  <x:autoFilter ref="A2:N61"/>
  <x:tableColumns count="14">
    <x:tableColumn id="1" name="summary_type"/>
    <x:tableColumn id="2" name="summary_key"/>
    <x:tableColumn id="3" name="primary_metric_name"/>
    <x:tableColumn id="4" name="primary_metric_value"/>
    <x:tableColumn id="5" name="run_id"/>
    <x:tableColumn id="6" name="experiment_id"/>
    <x:tableColumn id="7" name="start_section"/>
    <x:tableColumn id="8" name="end_section"/>
    <x:tableColumn id="9" name="model"/>
    <x:tableColumn id="10" name="cv"/>
    <x:tableColumn id="11" name="target"/>
    <x:tableColumn id="12" name="xai_method"/>
    <x:tableColumn id="13" name="report_path"/>
    <x:tableColumn id="14" name="notes"/>
  </x:tableColumns>
  <x:tableStyleInfo name="TableStyleMedium6" showRowStripes="1"/>
</x:table>
</file>

<file path=xl/tables/table19.xml><?xml version="1.0" encoding="utf-8"?>
<x:table xmlns:x="http://schemas.openxmlformats.org/spreadsheetml/2006/main" id="19" name="DataSelectionTable" displayName="DataSelectionTable" ref="A1:R41" headerRowCount="1">
  <x:autoFilter ref="A1:R41"/>
  <x:tableColumns count="18">
    <x:tableColumn id="1" name="Data_Slice_ID"/>
    <x:tableColumn id="2" name="Slice_Name"/>
    <x:tableColumn id="3" name="Purpose"/>
    <x:tableColumn id="4" name="Subject_Scope"/>
    <x:tableColumn id="5" name="Session_Scope"/>
    <x:tableColumn id="6" name="Time_Window"/>
    <x:tableColumn id="7" name="Task_Scope"/>
    <x:tableColumn id="8" name="Modality_Scope"/>
    <x:tableColumn id="9" name="Target_Type"/>
    <x:tableColumn id="10" name="Label_Set"/>
    <x:tableColumn id="11" name="Inclusion_Rule"/>
    <x:tableColumn id="12" name="Exclusion_Rule"/>
    <x:tableColumn id="13" name="Class_Balance_Policy"/>
    <x:tableColumn id="14" name="Minimum_Samples_Rule"/>
    <x:tableColumn id="15" name="Leakage_Risk"/>
    <x:tableColumn id="16" name="Valid_Use_Case"/>
    <x:tableColumn id="17" name="Thesis_Use"/>
    <x:tableColumn id="18" name="Notes"/>
  </x:tableColumns>
  <x:tableStyleInfo name="TableStyleMedium3" showRowStripes="1"/>
</x:table>
</file>

<file path=xl/tables/table20.xml><?xml version="1.0" encoding="utf-8"?>
<x:table xmlns:x="http://schemas.openxmlformats.org/spreadsheetml/2006/main" id="20" name="GroupingStrategyTable" displayName="GroupingStrategyTable" ref="A1:O41" headerRowCount="1">
  <x:autoFilter ref="A1:O41"/>
  <x:tableColumns count="15">
    <x:tableColumn id="1" name="Grouping_Strategy_ID"/>
    <x:tableColumn id="2" name="Strategy_Name"/>
    <x:tableColumn id="3" name="Split_Family"/>
    <x:tableColumn id="4" name="Train_Group_Unit"/>
    <x:tableColumn id="5" name="Test_Group_Unit"/>
    <x:tableColumn id="6" name="Grouping_Level"/>
    <x:tableColumn id="7" name="Train_Rule"/>
    <x:tableColumn id="8" name="Test_Rule"/>
    <x:tableColumn id="9" name="Leakage_Safeguard"/>
    <x:tableColumn id="10" name="Suitable_For"/>
    <x:tableColumn id="11" name="Not_Suitable_For"/>
    <x:tableColumn id="12" name="Interpretation_Boundary"/>
    <x:tableColumn id="13" name="Typical_Experiments"/>
    <x:tableColumn id="14" name="Thesis_Section"/>
    <x:tableColumn id="15" name="Notes"/>
  </x:tableColumns>
  <x:tableStyleInfo name="TableStyleMedium4" showRowStripes="1"/>
</x:table>
</file>

<file path=xl/tables/table21.xml><?xml version="1.0" encoding="utf-8"?>
<x:table xmlns:x="http://schemas.openxmlformats.org/spreadsheetml/2006/main" id="21" name="ProfileSubjectTable" displayName="ProfileSubjectTable" ref="A12:E20" headerRowCount="1">
  <x:autoFilter ref="A12:E20"/>
  <x:tableColumns count="5">
    <x:tableColumn id="1" name="Subject_ID"/>
    <x:tableColumn id="2" name="Count"/>
    <x:tableColumn id="3" name="Share_of_Block"/>
    <x:tableColumn id="4" name="Flag"/>
    <x:tableColumn id="5" name="Notes"/>
  </x:tableColumns>
  <x:tableStyleInfo name="TableStyleMedium6" showRowStripes="1"/>
</x:table>
</file>

<file path=xl/tables/table22.xml><?xml version="1.0" encoding="utf-8"?>
<x:table xmlns:x="http://schemas.openxmlformats.org/spreadsheetml/2006/main" id="22" name="ProfileSessionTable" displayName="ProfileSessionTable" ref="A24:E34" headerRowCount="1">
  <x:autoFilter ref="A24:E34"/>
  <x:tableColumns count="5">
    <x:tableColumn id="1" name="Session_ID"/>
    <x:tableColumn id="2" name="Count"/>
    <x:tableColumn id="3" name="Share_of_Block"/>
    <x:tableColumn id="4" name="Flag"/>
    <x:tableColumn id="5" name="Notes"/>
  </x:tableColumns>
  <x:tableStyleInfo name="TableStyleMedium6" showRowStripes="1"/>
</x:table>
</file>

<file path=xl/tables/table23.xml><?xml version="1.0" encoding="utf-8"?>
<x:table xmlns:x="http://schemas.openxmlformats.org/spreadsheetml/2006/main" id="23" name="ProfileTaskTable" displayName="ProfileTaskTable" ref="A38:E45" headerRowCount="1">
  <x:autoFilter ref="A38:E45"/>
  <x:tableColumns count="5">
    <x:tableColumn id="1" name="Task_ID"/>
    <x:tableColumn id="2" name="Count"/>
    <x:tableColumn id="3" name="Share_of_Block"/>
    <x:tableColumn id="4" name="Flag"/>
    <x:tableColumn id="5" name="Notes"/>
  </x:tableColumns>
  <x:tableStyleInfo name="TableStyleMedium6" showRowStripes="1"/>
</x:table>
</file>

<file path=xl/tables/table24.xml><?xml version="1.0" encoding="utf-8"?>
<x:table xmlns:x="http://schemas.openxmlformats.org/spreadsheetml/2006/main" id="24" name="ProfileModalityTable" displayName="ProfileModalityTable" ref="A49:E55" headerRowCount="1">
  <x:autoFilter ref="A49:E55"/>
  <x:tableColumns count="5">
    <x:tableColumn id="1" name="Modality_ID"/>
    <x:tableColumn id="2" name="Count"/>
    <x:tableColumn id="3" name="Share_of_Block"/>
    <x:tableColumn id="4" name="Flag"/>
    <x:tableColumn id="5" name="Notes"/>
  </x:tableColumns>
  <x:tableStyleInfo name="TableStyleMedium6" showRowStripes="1"/>
</x:table>
</file>

<file path=xl/tables/table25.xml><?xml version="1.0" encoding="utf-8"?>
<x:table xmlns:x="http://schemas.openxmlformats.org/spreadsheetml/2006/main" id="25" name="ProfileTargetClassTable" displayName="ProfileTargetClassTable" ref="A59:E65" headerRowCount="1">
  <x:autoFilter ref="A59:E65"/>
  <x:tableColumns count="5">
    <x:tableColumn id="1" name="Target_or_Class_ID"/>
    <x:tableColumn id="2" name="Count"/>
    <x:tableColumn id="3" name="Share_of_Block"/>
    <x:tableColumn id="4" name="Flag"/>
    <x:tableColumn id="5" name="Notes"/>
  </x:tableColumns>
  <x:tableStyleInfo name="TableStyleMedium6" showRowStripes="1"/>
</x:table>
</file>

<file path=xl/tables/table26.xml><?xml version="1.0" encoding="utf-8"?>
<x:table xmlns:x="http://schemas.openxmlformats.org/spreadsheetml/2006/main" id="26" name="ProfileDataSliceTable" displayName="ProfileDataSliceTable" ref="A70:E80" headerRowCount="1">
  <x:autoFilter ref="A70:E80"/>
  <x:tableColumns count="5">
    <x:tableColumn id="1" name="Data_Slice_ID"/>
    <x:tableColumn id="2" name="Count"/>
    <x:tableColumn id="3" name="Share_of_Block"/>
    <x:tableColumn id="4" name="Flag"/>
    <x:tableColumn id="5" name="Notes"/>
  </x:tableColumns>
  <x:tableStyleInfo name="TableStyleMedium6" showRowStripes="1"/>
</x:table>
</file>

<file path=xl/tables/table27.xml><?xml version="1.0" encoding="utf-8"?>
<x:table xmlns:x="http://schemas.openxmlformats.org/spreadsheetml/2006/main" id="27" name="RunLogTable" displayName="RunLogTable" ref="A1:AK41" headerRowCount="1">
  <x:autoFilter ref="A1:AK41"/>
  <x:tableColumns count="37">
    <x:tableColumn id="1" name="Run_ID"/>
    <x:tableColumn id="2" name="Experiment_ID"/>
    <x:tableColumn id="3" name="Run_Date"/>
    <x:tableColumn id="4" name="Dataset_Name"/>
    <x:tableColumn id="5" name="Data_Subset"/>
    <x:tableColumn id="6" name="Data_Slice_ID"/>
    <x:tableColumn id="7" name="Grouping_Strategy_ID"/>
    <x:tableColumn id="8" name="Code_Commit_or_Version"/>
    <x:tableColumn id="9" name="Config_File_or_Path"/>
    <x:tableColumn id="10" name="Random_Seed"/>
    <x:tableColumn id="11" name="Target"/>
    <x:tableColumn id="12" name="Split_ID_or_Fold_Definition"/>
    <x:tableColumn id="13" name="Train_Group_Rule"/>
    <x:tableColumn id="14" name="Test_Group_Rule"/>
    <x:tableColumn id="15" name="Transfer_Direction"/>
    <x:tableColumn id="16" name="Session_Coverage"/>
    <x:tableColumn id="17" name="Task_Coverage"/>
    <x:tableColumn id="18" name="Modality_Coverage"/>
    <x:tableColumn id="19" name="Model"/>
    <x:tableColumn id="20" name="Feature_Set"/>
    <x:tableColumn id="21" name="Run_Type"/>
    <x:tableColumn id="22" name="Affects_Frozen_Pipeline"/>
    <x:tableColumn id="23" name="Eligible_for_Method_Decision"/>
    <x:tableColumn id="24" name="Sample_Count"/>
    <x:tableColumn id="25" name="Class_Counts"/>
    <x:tableColumn id="26" name="Imbalance_Status"/>
    <x:tableColumn id="27" name="Leakage_Check_Status"/>
    <x:tableColumn id="28" name="Primary_Metric_Value"/>
    <x:tableColumn id="29" name="Secondary_Metric_1"/>
    <x:tableColumn id="30" name="Secondary_Metric_2"/>
    <x:tableColumn id="31" name="Robustness_Output_Summary"/>
    <x:tableColumn id="32" name="Result_Summary"/>
    <x:tableColumn id="33" name="Preliminary_Interpretation"/>
    <x:tableColumn id="34" name="Reviewed"/>
    <x:tableColumn id="35" name="Used_in_Thesis"/>
    <x:tableColumn id="36" name="Artifact_Path"/>
    <x:tableColumn id="37" name="Notes"/>
  </x:tableColumns>
  <x:tableStyleInfo name="TableStyleMedium9" showRowStripes="1"/>
</x:table>
</file>

<file path=xl/tables/table28.xml><?xml version="1.0" encoding="utf-8"?>
<x:table xmlns:x="http://schemas.openxmlformats.org/spreadsheetml/2006/main" id="28" name="DecisionLogTable" displayName="DecisionLogTable" ref="A1:N9" headerRowCount="1">
  <x:autoFilter ref="A1:N9"/>
  <x:tableColumns count="14">
    <x:tableColumn id="1" name="Decision_ID"/>
    <x:tableColumn id="2" name="Decision_Topic"/>
    <x:tableColumn id="3" name="Stage"/>
    <x:tableColumn id="4" name="Candidate_Options"/>
    <x:tableColumn id="5" name="Evidence_Experiments"/>
    <x:tableColumn id="6" name="Decision_Criteria"/>
    <x:tableColumn id="7" name="Chosen_Option"/>
    <x:tableColumn id="8" name="Why_Chosen"/>
    <x:tableColumn id="9" name="Why_Not_Others"/>
    <x:tableColumn id="10" name="Risks_or_Tradeoffs"/>
    <x:tableColumn id="11" name="Grounding_Section_or_Source_Packet"/>
    <x:tableColumn id="12" name="Date_Locked"/>
    <x:tableColumn id="13" name="Freeze_Status"/>
    <x:tableColumn id="14" name="Thesis_Use"/>
  </x:tableColumns>
  <x:tableStyleInfo name="TableStyleMedium4" showRowStripes="1"/>
</x:table>
</file>

<file path=xl/tables/table29.xml><?xml version="1.0" encoding="utf-8"?>
<x:table xmlns:x="http://schemas.openxmlformats.org/spreadsheetml/2006/main" id="29" name="ConfirmatoryTable" displayName="ConfirmatoryTable" ref="A1:L6" headerRowCount="1">
  <x:autoFilter ref="A1:L6"/>
  <x:tableColumns count="12">
    <x:tableColumn id="1" name="Experiment_ID"/>
    <x:tableColumn id="2" name="Short_Title"/>
    <x:tableColumn id="3" name="Final_Pipeline_Version"/>
    <x:tableColumn id="4" name="Claim_Supported"/>
    <x:tableColumn id="5" name="Status"/>
    <x:tableColumn id="6" name="Eligible_to_Run"/>
    <x:tableColumn id="7" name="Completed"/>
    <x:tableColumn id="8" name="Required_for_Main_Claim"/>
    <x:tableColumn id="9" name="Ready_for_Chapter_4"/>
    <x:tableColumn id="10" name="Confirmatory_Eligible"/>
    <x:tableColumn id="11" name="Main_Result_Summary"/>
    <x:tableColumn id="12" name="Robustness_Status"/>
  </x:tableColumns>
  <x:tableStyleInfo name="TableStyleMedium10" showRowStripes="1"/>
</x:table>
</file>

<file path=xl/tables/table30.xml><?xml version="1.0" encoding="utf-8"?>
<x:table xmlns:x="http://schemas.openxmlformats.org/spreadsheetml/2006/main" id="30" name="ThesisMapTable" displayName="ThesisMapTable" ref="A1:H20" headerRowCount="1">
  <x:autoFilter ref="A1:H20"/>
  <x:tableColumns count="8">
    <x:tableColumn id="1" name="Experiment_ID"/>
    <x:tableColumn id="2" name="Chapter"/>
    <x:tableColumn id="3" name="Section"/>
    <x:tableColumn id="4" name="Purpose_in_Thesis"/>
    <x:tableColumn id="5" name="Main_or_Supporting"/>
    <x:tableColumn id="6" name="Method_Choice_or_Method_Application_or_Discussion"/>
    <x:tableColumn id="7" name="What_Claim_or_Decision_It_Supports"/>
    <x:tableColumn id="8" name="Notes_for_Writing"/>
  </x:tableColumns>
  <x:tableStyleInfo name="TableStyleMedium6" showRowStripes="1"/>
</x:table>
</file>

<file path=xl/tables/table31.xml><?xml version="1.0" encoding="utf-8"?>
<x:table xmlns:x="http://schemas.openxmlformats.org/spreadsheetml/2006/main" id="31" name="ClaimLedgerTable" displayName="ClaimLedgerTable" ref="A1:H31" headerRowCount="1">
  <x:autoFilter ref="A1:H31"/>
  <x:tableColumns count="8">
    <x:tableColumn id="1" name="Claim_ID"/>
    <x:tableColumn id="2" name="Claim_Text"/>
    <x:tableColumn id="3" name="Claim_Type"/>
    <x:tableColumn id="4" name="Supported_By_Experiments"/>
    <x:tableColumn id="5" name="Evidence_Status"/>
    <x:tableColumn id="6" name="Writing_Location"/>
    <x:tableColumn id="7" name="Interpretation_Limit"/>
    <x:tableColumn id="8" name="Notes"/>
  </x:tableColumns>
  <x:tableStyleInfo name="TableStyleMedium8" showRowStripes="1"/>
</x:table>
</file>

<file path=xl/tables/table32.xml><?xml version="1.0" encoding="utf-8"?>
<x:table xmlns:x="http://schemas.openxmlformats.org/spreadsheetml/2006/main" id="32" name="AIUsageTable" displayName="AIUsageTable" ref="A1:J41" headerRowCount="1">
  <x:autoFilter ref="A1:J41"/>
  <x:tableColumns count="10">
    <x:tableColumn id="1" name="Entry_ID"/>
    <x:tableColumn id="2" name="Date"/>
    <x:tableColumn id="3" name="Task"/>
    <x:tableColumn id="4" name="Tool"/>
    <x:tableColumn id="5" name="Input_Summary"/>
    <x:tableColumn id="6" name="Output_Summary"/>
    <x:tableColumn id="7" name="What_Was_Adopted"/>
    <x:tableColumn id="8" name="Human_Verification_Status"/>
    <x:tableColumn id="9" name="Thesis_Use"/>
    <x:tableColumn id="10" name="Notes"/>
  </x:tableColumns>
  <x:tableStyleInfo name="TableStyleMedium5" showRowStripes="1"/>
</x:table>
</file>

<file path=xl/tables/table33.xml><?xml version="1.0" encoding="utf-8"?>
<x:table xmlns:x="http://schemas.openxmlformats.org/spreadsheetml/2006/main" id="33" name="EthicsTable" displayName="EthicsTable" ref="A1:H31" headerRowCount="1">
  <x:autoFilter ref="A1:H31"/>
  <x:tableColumns count="8">
    <x:tableColumn id="1" name="Note_ID"/>
    <x:tableColumn id="2" name="Experiment_ID_or_Decision_ID"/>
    <x:tableColumn id="3" name="Topic"/>
    <x:tableColumn id="4" name="Risk_or_Concern"/>
    <x:tableColumn id="5" name="Mitigation_or_Response"/>
    <x:tableColumn id="6" name="Thesis_Section"/>
    <x:tableColumn id="7" name="Status"/>
    <x:tableColumn id="8" name="Notes"/>
  </x:tableColumns>
  <x:tableStyleInfo name="TableStyleMedium7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77edfac9ad1459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38535ebfcff54f6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1cca5d08eb74dc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308f401efe541d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9c530799d3824ab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aabfc61c3dfc41e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b46616788a7b433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7190110dac6247c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930e9e65fc7c469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47a17cd20eef467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5a400cc5af3148c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7408ece8a5cc4fa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1c363ccad1074332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b46d6b4f335c46b8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9d35be5bef2140f6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9db9bae6864541f6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733bb0e2ebb942fc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4954b670140647e8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bcf3e1f92361478b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0.xml" Id="R446f279768ad4c92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1.xml" Id="R1c1b7485c90d4d2f" /><Relationship Type="http://schemas.openxmlformats.org/officeDocument/2006/relationships/table" Target="/xl/tables/table22.xml" Id="R47cc124b53de49e1" /><Relationship Type="http://schemas.openxmlformats.org/officeDocument/2006/relationships/table" Target="/xl/tables/table23.xml" Id="R2dffc0395b2f45df" /><Relationship Type="http://schemas.openxmlformats.org/officeDocument/2006/relationships/table" Target="/xl/tables/table24.xml" Id="Rb10f2db673164e61" /><Relationship Type="http://schemas.openxmlformats.org/officeDocument/2006/relationships/table" Target="/xl/tables/table25.xml" Id="R6d0b523e799e4a30" /><Relationship Type="http://schemas.openxmlformats.org/officeDocument/2006/relationships/table" Target="/xl/tables/table26.xml" Id="Rea92c96185144f1a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7.xml" Id="R3a03472e112c43b7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8.xml" Id="Rb14f7e21ad7f47a9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9.xml" Id="R4e48d9dc9fd944c7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30.xml" Id="R617a811700784d4f" /></Relationships>
</file>

<file path=xl/worksheets/_rels/sheet30.xml.rels>&#65279;<?xml version="1.0" encoding="utf-8"?><Relationships xmlns="http://schemas.openxmlformats.org/package/2006/relationships"><Relationship Type="http://schemas.openxmlformats.org/officeDocument/2006/relationships/table" Target="/xl/tables/table31.xml" Id="R584e9e8e2ad7475b" /></Relationships>
</file>

<file path=xl/worksheets/_rels/sheet31.xml.rels>&#65279;<?xml version="1.0" encoding="utf-8"?><Relationships xmlns="http://schemas.openxmlformats.org/package/2006/relationships"><Relationship Type="http://schemas.openxmlformats.org/officeDocument/2006/relationships/table" Target="/xl/tables/table32.xml" Id="R48d53619a6c546f3" /></Relationships>
</file>

<file path=xl/worksheets/_rels/sheet32.xml.rels>&#65279;<?xml version="1.0" encoding="utf-8"?><Relationships xmlns="http://schemas.openxmlformats.org/package/2006/relationships"><Relationship Type="http://schemas.openxmlformats.org/officeDocument/2006/relationships/table" Target="/xl/tables/table33.xml" Id="R82f3fbffdff74790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hidden="0" customWidth="1"/>
    <x:col min="2" max="2" width="95" hidden="0" customWidth="1"/>
    <x:col min="3" max="3" width="24" customWidth="1"/>
    <x:col min="4" max="4" width="24" customWidth="1"/>
    <x:col min="5" max="5" width="24" customWidth="1"/>
    <x:col min="6" max="6" width="24" customWidth="1"/>
    <x:col min="7" max="7" width="24" customWidth="1"/>
    <x:col min="8" max="8" width="24" customWidth="1"/>
    <x:col min="9" max="9" width="24" customWidth="1"/>
  </x:cols>
  <x:sheetData>
    <x:row r="1" ht="51.26953125" hidden="0" customHeight="1">
      <x:c r="A1" s="19" t="str">
        <x:v>Thesis Experiment Program Workbook (v2.1)</x:v>
      </x:c>
      <x:c r="B1" s="20"/>
    </x:row>
    <x:row r="2" ht="17.08984375" hidden="0" customHeight="1">
      <x:c r="A2" s="20"/>
      <x:c r="B2" s="20"/>
    </x:row>
    <x:row r="3" ht="51.26953125" hidden="0" customHeight="1">
      <x:c r="A3" s="21" t="str">
        <x:v>Purpose</x:v>
      </x:c>
      <x:c r="B3" s="22" t="str">
        <x:v>Single governance workbook for the thesis experiment program: design locking, data-slice control, grouping/split governance, robustness planning, confirmatory readiness, and thesis chapter mapping.</x:v>
      </x:c>
      <x:c r="C3" s="4" t="n"/>
      <x:c r="D3" s="4" t="n"/>
      <x:c r="E3" s="4" t="n"/>
      <x:c r="F3" s="4" t="n"/>
      <x:c r="G3" s="4" t="n"/>
      <x:c r="H3" s="4" t="n"/>
      <x:c r="I3" s="4" t="n"/>
    </x:row>
    <x:row r="4" ht="17.08984375" hidden="0" customHeight="1">
      <x:c r="A4" s="23"/>
      <x:c r="B4" s="23"/>
      <x:c r="C4" s="4" t="n"/>
      <x:c r="D4" s="4" t="n"/>
      <x:c r="E4" s="4" t="n"/>
      <x:c r="F4" s="4" t="n"/>
      <x:c r="G4" s="4" t="n"/>
      <x:c r="H4" s="4" t="n"/>
      <x:c r="I4" s="4" t="n"/>
    </x:row>
    <x:row r="5" ht="51.26953125" hidden="0" customHeight="1">
      <x:c r="A5" s="20" t="str">
        <x:v>How to use this workbook</x:v>
      </x:c>
      <x:c r="B5" s="20" t="str">
        <x:v>Follow the workflow in order: define experiments -&gt; define data slices and grouping strategies -&gt; lock decisions -&gt; mark confirmatory package -&gt; map claims and thesis sections -&gt; monitor readiness on the dashboard.</x:v>
      </x:c>
    </x:row>
    <x:row r="6" ht="17.08984375" hidden="0" customHeight="1">
      <x:c r="A6" s="21"/>
      <x:c r="B6" s="22"/>
      <x:c r="C6" s="4" t="n"/>
      <x:c r="D6" s="4" t="n"/>
      <x:c r="E6" s="4" t="n"/>
      <x:c r="F6" s="4" t="n"/>
      <x:c r="G6" s="4" t="n"/>
      <x:c r="H6" s="4" t="n"/>
      <x:c r="I6" s="4" t="n"/>
    </x:row>
    <x:row r="7" ht="85.44921875" hidden="0" customHeight="1">
      <x:c r="A7" s="23" t="str">
        <x:v>Human-managed sheets</x:v>
      </x:c>
      <x:c r="B7" s="23" t="str">
        <x:v>README; Master_Experiments; Experiment_Definitions; Study_Design; Study_Rigor_Checklist; Analysis_Plan; Factors; Fixed_Controls; Constraints; Blocking_and_Replication; Data_Selection_Design; Grouping_Strategy_Map; Decision_Log; Confirmatory_Set; Thesis_Map; Claim_Ledger; AI_Usage_Log; Ethics_Governance_Notes.</x:v>
      </x:c>
      <x:c r="C7" s="4" t="n"/>
      <x:c r="D7" s="4" t="n"/>
      <x:c r="E7" s="4" t="n"/>
      <x:c r="F7" s="4" t="n"/>
      <x:c r="G7" s="4" t="n"/>
      <x:c r="H7" s="4" t="n"/>
      <x:c r="I7" s="4" t="n"/>
    </x:row>
    <x:row r="8" ht="17.08984375" hidden="0" customHeight="1">
      <x:c r="A8" s="20"/>
      <x:c r="B8" s="20"/>
    </x:row>
    <x:row r="9" ht="51.26953125" hidden="0" customHeight="1">
      <x:c r="A9" s="21" t="str">
        <x:v>Machine-managed sheets</x:v>
      </x:c>
      <x:c r="B9" s="22" t="str">
        <x:v>Generated_Design_Matrix; Effect_Summaries; Artifact_Registry; Run_Log; Trial_Results; Summary_Outputs. These should be written by scripts or carefully imported, not manually edited during analysis runs.</x:v>
      </x:c>
      <x:c r="C9" s="4" t="n"/>
      <x:c r="D9" s="4" t="n"/>
      <x:c r="E9" s="4" t="n"/>
      <x:c r="F9" s="4" t="n"/>
      <x:c r="G9" s="4" t="n"/>
      <x:c r="H9" s="4" t="n"/>
      <x:c r="I9" s="4" t="n"/>
    </x:row>
    <x:row r="10" ht="17.08984375" hidden="0" customHeight="1">
      <x:c r="A10" s="23"/>
      <x:c r="B10" s="23"/>
      <x:c r="C10" s="4" t="n"/>
      <x:c r="D10" s="4" t="n"/>
      <x:c r="E10" s="4" t="n"/>
      <x:c r="F10" s="4" t="n"/>
      <x:c r="G10" s="4" t="n"/>
      <x:c r="H10" s="4" t="n"/>
      <x:c r="I10" s="4" t="n"/>
    </x:row>
    <x:row r="11" ht="51.26953125" hidden="0" customHeight="1">
      <x:c r="A11" s="20" t="str">
        <x:v>Core scientific framing</x:v>
      </x:c>
      <x:c r="B11" s="20" t="str">
        <x:v>Primary claim = within-person held-out-session generalization. Secondary claim = frozen directional cross-person transfer. Robustness analyses support interpretation but do not replace the primary confirmatory claim.</x:v>
      </x:c>
    </x:row>
    <x:row r="12" ht="17.08984375" hidden="0" customHeight="1">
      <x:c r="A12" s="21"/>
      <x:c r="B12" s="22"/>
      <x:c r="C12" s="4" t="n"/>
      <x:c r="D12" s="4" t="n"/>
      <x:c r="E12" s="4" t="n"/>
      <x:c r="F12" s="4" t="n"/>
      <x:c r="G12" s="4" t="n"/>
      <x:c r="H12" s="4" t="n"/>
      <x:c r="I12" s="4" t="n"/>
    </x:row>
    <x:row r="13" ht="51.26953125" hidden="0" customHeight="1">
      <x:c r="A13" s="23" t="str">
        <x:v>Current modification scope</x:v>
      </x:c>
      <x:c r="B13" s="23" t="str">
        <x:v>Workbook extended to support confound diagnostics, temporal-drift robustness, leave-task-out / leave-modality-out checks, session-influence sensitivity, and reproducibility rerun audit without changing the overall workbook architecture.</x:v>
      </x:c>
      <x:c r="C13" s="4" t="n"/>
      <x:c r="D13" s="4" t="n"/>
      <x:c r="E13" s="4" t="n"/>
      <x:c r="F13" s="4" t="n"/>
      <x:c r="G13" s="4" t="n"/>
      <x:c r="H13" s="4" t="n"/>
      <x:c r="I13" s="4" t="n"/>
    </x:row>
    <x:row r="14" ht="17.08984375" hidden="0" customHeight="1">
      <x:c r="A14" s="20"/>
      <x:c r="B14" s="20"/>
    </x:row>
    <x:row r="15" ht="51.26953125" hidden="0" customHeight="1">
      <x:c r="A15" s="21" t="str">
        <x:v>Freeze policy</x:v>
      </x:c>
      <x:c r="B15" s="22" t="str">
        <x:v>Confirmatory eligibility requires the main decision locks (D01-D07) plus a documented supporting robustness package. Supporting robustness analyses may be pre-specified and confirmatory-eligible without all being required for the main claim.</x:v>
      </x:c>
      <x:c r="C15" s="4" t="n"/>
      <x:c r="D15" s="4" t="n"/>
      <x:c r="E15" s="4" t="n"/>
      <x:c r="F15" s="4" t="n"/>
      <x:c r="G15" s="4" t="n"/>
      <x:c r="H15" s="4" t="n"/>
      <x:c r="I15" s="4" t="n"/>
    </x:row>
    <x:row r="16" ht="17.08984375" hidden="0" customHeight="1">
      <x:c r="A16" s="23"/>
      <x:c r="B16" s="23"/>
      <x:c r="C16" s="4" t="n"/>
      <x:c r="D16" s="4" t="n"/>
      <x:c r="E16" s="4" t="n"/>
      <x:c r="F16" s="4" t="n"/>
      <x:c r="G16" s="4" t="n"/>
      <x:c r="H16" s="4" t="n"/>
      <x:c r="I16" s="4" t="n"/>
    </x:row>
    <x:row r="17" ht="51.26953125" hidden="0" customHeight="1">
      <x:c r="A17" s="20" t="str">
        <x:v>Interpretation rules</x:v>
      </x:c>
      <x:c r="B17" s="20" t="str">
        <x:v>Weak-split analyses are inflation demonstrations only. Cross-person results are not population-level claims. Interpretability outputs are model-behavior evidence, not direct neural localization evidence.</x:v>
      </x:c>
    </x:row>
    <x:row r="18" ht="17.08984375" hidden="0" customHeight="1">
      <x:c r="A18" s="21"/>
      <x:c r="B18" s="22"/>
      <x:c r="C18" s="4" t="n"/>
      <x:c r="D18" s="4" t="n"/>
      <x:c r="E18" s="4" t="n"/>
      <x:c r="F18" s="4" t="n"/>
      <x:c r="G18" s="4" t="n"/>
      <x:c r="H18" s="4" t="n"/>
      <x:c r="I18" s="4" t="n"/>
    </x:row>
    <x:row r="19" ht="68.359375" hidden="0" customHeight="1">
      <x:c r="A19" s="23" t="str">
        <x:v>Workflow</x:v>
      </x:c>
      <x:c r="B19" s="23" t="str">
        <x:v>Master_Experiments + Data_Selection_Design + Grouping_Strategy_Map -&gt; Experiment_Definitions / Study_Design -&gt; Run_Log -&gt; Decision_Log -&gt; Confirmatory_Set -&gt; Claim_Ledger / Ethics_Governance_Notes / AI_Usage_Log -&gt; Thesis_Map -&gt; Dashboard.</x:v>
      </x:c>
      <x:c r="C19" s="4" t="n"/>
      <x:c r="D19" s="4" t="n"/>
      <x:c r="E19" s="4" t="n"/>
      <x:c r="F19" s="4" t="n"/>
      <x:c r="G19" s="4" t="n"/>
      <x:c r="H19" s="4" t="n"/>
      <x:c r="I19" s="4" t="n"/>
    </x:row>
    <x:row r="20" ht="17.08984375" hidden="0" customHeight="1">
      <x:c r="A20" s="20"/>
      <x:c r="B20" s="20"/>
    </x:row>
    <x:row r="21" ht="34.1796875" hidden="0" customHeight="1">
      <x:c r="A21" s="21" t="inlineStr">
        <x:is>
          <x:t xml:space="preserve">Grouping_Strategy_Map</x:t>
        </x:is>
      </x:c>
      <x:c r="B21" s="22" t="inlineStr">
        <x:is>
          <x:t xml:space="preserve">Defines split family, train/test grouping units, leakage safeguards, and interpretation boundaries for each grouping strategy identifier.</x:t>
        </x:is>
      </x:c>
      <x:c r="C21" s="4" t="n"/>
      <x:c r="D21" s="4" t="n"/>
      <x:c r="E21" s="4" t="n"/>
      <x:c r="F21" s="4" t="n"/>
      <x:c r="G21" s="4" t="n"/>
      <x:c r="H21" s="4" t="n"/>
      <x:c r="I21" s="4" t="n"/>
    </x:row>
    <x:row r="22" ht="17.08984375" hidden="0" customHeight="1">
      <x:c r="A22" s="23" t="n"/>
      <x:c r="B22" s="23" t="n"/>
      <x:c r="C22" s="4" t="n"/>
      <x:c r="D22" s="4" t="n"/>
      <x:c r="E22" s="4" t="n"/>
      <x:c r="F22" s="4" t="n"/>
      <x:c r="G22" s="4" t="n"/>
      <x:c r="H22" s="4" t="n"/>
      <x:c r="I22" s="4" t="n"/>
    </x:row>
    <x:row r="23" ht="17.08984375" hidden="0" customHeight="1">
      <x:c r="A23" s="20"/>
      <x:c r="B23" s="20"/>
    </x:row>
    <x:row r="24" ht="51.26953125" hidden="0" customHeight="1">
      <x:c r="A24" s="21" t="inlineStr">
        <x:is>
          <x:t xml:space="preserve">Data_Profile</x:t>
        </x:is>
      </x:c>
      <x:c r="B24" s="22" t="inlineStr">
        <x:is>
          <x:t xml:space="preserve">Structured worksheet for manual or imported descriptive counts by subject/session/task/modality/target/class and by Data_Slice_ID, with formula-based sparsity/imbalance flags.</x:t>
        </x:is>
      </x:c>
      <x:c r="C24" s="4" t="n"/>
      <x:c r="D24" s="4" t="n"/>
      <x:c r="E24" s="4" t="n"/>
      <x:c r="F24" s="4" t="n"/>
      <x:c r="G24" s="4" t="n"/>
      <x:c r="H24" s="4" t="n"/>
      <x:c r="I24" s="4" t="n"/>
    </x:row>
    <x:row r="25" ht="17.08984375" hidden="0" customHeight="1">
      <x:c r="A25" s="23" t="n"/>
      <x:c r="B25" s="23" t="n"/>
      <x:c r="C25" s="4" t="n"/>
      <x:c r="D25" s="4" t="n"/>
      <x:c r="E25" s="4" t="n"/>
      <x:c r="F25" s="4" t="n"/>
      <x:c r="G25" s="4" t="n"/>
      <x:c r="H25" s="4" t="n"/>
      <x:c r="I25" s="4" t="n"/>
    </x:row>
    <x:row r="26" ht="17.08984375" hidden="0" customHeight="1">
      <x:c r="A26" s="20"/>
      <x:c r="B26" s="20"/>
    </x:row>
    <x:row r="27" ht="34.1796875" hidden="0" customHeight="1">
      <x:c r="A27" s="21" t="inlineStr">
        <x:is>
          <x:t xml:space="preserve">Claim boundaries</x:t>
        </x:is>
      </x:c>
      <x:c r="B27" s="22" t="inlineStr">
        <x:is>
          <x:t xml:space="preserve">Within-person held-out-session claims and cross-person transfer claims are different scientific claims and must not be interpreted interchangeably.</x:t>
        </x:is>
      </x:c>
      <x:c r="C27" s="4" t="n"/>
      <x:c r="D27" s="4" t="n"/>
      <x:c r="E27" s="4" t="n"/>
      <x:c r="F27" s="4" t="n"/>
      <x:c r="G27" s="4" t="n"/>
      <x:c r="H27" s="4" t="n"/>
      <x:c r="I27" s="4" t="n"/>
    </x:row>
    <x:row r="28" ht="17.08984375" hidden="0" customHeight="1">
      <x:c r="A28" s="23" t="n"/>
      <x:c r="B28" s="23" t="n"/>
      <x:c r="C28" s="4" t="n"/>
      <x:c r="D28" s="4" t="n"/>
      <x:c r="E28" s="4" t="n"/>
      <x:c r="F28" s="4" t="n"/>
      <x:c r="G28" s="4" t="n"/>
      <x:c r="H28" s="4" t="n"/>
      <x:c r="I28" s="4" t="n"/>
    </x:row>
    <x:row r="29" ht="17.08984375" hidden="0" customHeight="1">
      <x:c r="A29" s="20"/>
      <x:c r="B29" s="20"/>
    </x:row>
    <x:row r="30" ht="34.1796875" hidden="0" customHeight="1">
      <x:c r="A30" s="21" t="inlineStr">
        <x:is>
          <x:t xml:space="preserve">Weak-split policy</x:t>
        </x:is>
      </x:c>
      <x:c r="B30" s="22" t="inlineStr">
        <x:is>
          <x:t xml:space="preserve">Weak split results are allowed only as inflation demonstrations and diagnostic contrast. They are not confirmatory evidence.</x:t>
        </x:is>
      </x:c>
      <x:c r="C30" s="4" t="n"/>
      <x:c r="D30" s="4" t="n"/>
      <x:c r="E30" s="4" t="n"/>
      <x:c r="F30" s="4" t="n"/>
      <x:c r="G30" s="4" t="n"/>
      <x:c r="H30" s="4" t="n"/>
      <x:c r="I30" s="4" t="n"/>
    </x:row>
    <x:row r="31" ht="17.08984375" hidden="0" customHeight="1">
      <x:c r="A31" s="23" t="n"/>
      <x:c r="B31" s="23" t="n"/>
      <x:c r="C31" s="4" t="n"/>
      <x:c r="D31" s="4" t="n"/>
      <x:c r="E31" s="4" t="n"/>
      <x:c r="F31" s="4" t="n"/>
      <x:c r="G31" s="4" t="n"/>
      <x:c r="H31" s="4" t="n"/>
      <x:c r="I31" s="4" t="n"/>
    </x:row>
    <x:row r="32" ht="17.08984375" hidden="0" customHeight="1">
      <x:c r="A32" s="20"/>
      <x:c r="B32" s="20"/>
    </x:row>
    <x:row r="33" ht="51.26953125" hidden="0" customHeight="1">
      <x:c r="A33" s="21" t="inlineStr">
        <x:is>
          <x:t xml:space="preserve">Governance additions</x:t>
        </x:is>
      </x:c>
      <x:c r="B33" s="22" t="inlineStr">
        <x:is>
          <x:t xml:space="preserve">Claim_Ledger enforces claim discipline. AI_Usage_Log supports tool transparency and human verification traceability. Ethics_Governance_Notes supports risk/mitigation accountability.</x:t>
        </x:is>
      </x:c>
      <x:c r="C33" s="4" t="n"/>
      <x:c r="D33" s="4" t="n"/>
      <x:c r="E33" s="4" t="n"/>
      <x:c r="F33" s="4" t="n"/>
      <x:c r="G33" s="4" t="n"/>
      <x:c r="H33" s="4" t="n"/>
      <x:c r="I33" s="4" t="n"/>
    </x:row>
    <x:row r="34" ht="17.08984375" hidden="0" customHeight="1">
      <x:c r="A34" s="23" t="n"/>
      <x:c r="B34" s="23" t="n"/>
      <x:c r="C34" s="4" t="n"/>
      <x:c r="D34" s="4" t="n"/>
      <x:c r="E34" s="4" t="n"/>
      <x:c r="F34" s="4" t="n"/>
      <x:c r="G34" s="4" t="n"/>
      <x:c r="H34" s="4" t="n"/>
      <x:c r="I34" s="4" t="n"/>
    </x:row>
    <x:row r="35" ht="17.08984375" hidden="0" customHeight="1">
      <x:c r="A35" s="20"/>
      <x:c r="B35" s="20"/>
    </x:row>
    <x:row r="36" ht="51.26953125" hidden="0" customHeight="1">
      <x:c r="A36" s="21" t="inlineStr">
        <x:is>
          <x:t xml:space="preserve">Workflow</x:t>
        </x:is>
      </x:c>
      <x:c r="B36" s="22" t="inlineStr">
        <x:is>
          <x:t xml:space="preserve">Master_Experiments + Data_Selection_Design + Grouping_Strategy_Map -&gt; Run_Log -&gt; Decision_Log -&gt; Confirmatory_Set -&gt; Claim_Ledger/AI_Usage_Log/Ethics_Governance_Notes -&gt; Thesis_Map -&gt; Dashboard.</x:t>
        </x:is>
      </x:c>
      <x:c r="C36" s="4" t="n"/>
      <x:c r="D36" s="4" t="n"/>
      <x:c r="E36" s="4" t="n"/>
      <x:c r="F36" s="4" t="n"/>
      <x:c r="G36" s="4" t="n"/>
      <x:c r="H36" s="4" t="n"/>
      <x:c r="I36" s="4" t="n"/>
    </x:row>
    <x:row r="37" ht="17.08984375" hidden="0" customHeight="1">
      <x:c r="A37" s="23" t="n"/>
      <x:c r="B37" s="23" t="n"/>
      <x:c r="C37" s="4" t="n"/>
      <x:c r="D37" s="4" t="n"/>
      <x:c r="E37" s="4" t="n"/>
      <x:c r="F37" s="4" t="n"/>
      <x:c r="G37" s="4" t="n"/>
      <x:c r="H37" s="4" t="n"/>
      <x:c r="I37" s="4" t="n"/>
    </x:row>
    <x:row r="38" ht="17.08984375" hidden="0" customHeight="1">
      <x:c r="A38" s="20"/>
      <x:c r="B38" s="20"/>
    </x:row>
    <x:row r="39" ht="170.8984375" hidden="0" customHeight="1">
      <x:c r="A39" s="24" t="inlineStr">
        <x:is>
          <x:t xml:space="preserve">This workbook is aligned to thesis method-choice/method-application workflow, data-slice/grouping governance, and leakage-aware reporting requirements.</x:t>
        </x:is>
      </x:c>
      <x:c r="B39" s="20"/>
    </x:row>
    <x:row r="40" ht="17.08984375" hidden="0" customHeight="1">
      <x:c r="A40" s="23" t="n"/>
      <x:c r="B40" s="23" t="n"/>
      <x:c r="C40" s="4" t="n"/>
      <x:c r="D40" s="4" t="n"/>
      <x:c r="E40" s="4" t="n"/>
      <x:c r="F40" s="4" t="n"/>
      <x:c r="G40" s="4" t="n"/>
      <x:c r="H40" s="4" t="n"/>
      <x:c r="I40" s="4" t="n"/>
    </x:row>
    <x:row r="41" ht="34.1796875" hidden="0" customHeight="1">
      <x:c r="A41" s="20" t="str">
        <x:v>Schema_Metadata_Key</x:v>
      </x:c>
      <x:c r="B41" s="20" t="str">
        <x:v>Value</x:v>
      </x:c>
    </x:row>
    <x:row r="42" ht="34.1796875" hidden="0" customHeight="1">
      <x:c r="A42" s="20" t="str">
        <x:v>workbook_schema_version</x:v>
      </x:c>
      <x:c r="B42" s="20" t="str">
        <x:v>workbook-v1.1-robustness-plan</x:v>
      </x:c>
    </x:row>
    <x:row r="43" ht="34.1796875" hidden="0" customHeight="1">
      <x:c r="A43" s="20" t="str">
        <x:v>compiled_manifest_schema_version</x:v>
      </x:c>
      <x:c r="B43" s="20" t="str">
        <x:v>compiled-manifest-v1</x:v>
      </x:c>
    </x:row>
    <x:row r="44" ht="34.1796875" hidden="0" customHeight="1">
      <x:c r="A44" s="20" t="str">
        <x:v>artifact_schema_version</x:v>
      </x:c>
      <x:c r="B44" s="20" t="str">
        <x:v>artifact-v1</x:v>
      </x:c>
    </x:row>
    <x:row r="45" ht="34.1796875" hidden="0" customHeight="1">
      <x:c r="A45" s="20" t="str">
        <x:v>workbook_writeback_schema_version</x:v>
      </x:c>
      <x:c r="B45" s="20" t="str">
        <x:v>workbook-writeback-v1</x:v>
      </x:c>
    </x:row>
    <x:row r="46" ht="34.1796875" hidden="0" customHeight="1">
      <x:c r="A46" s="20" t="str">
        <x:v>summary_result_schema_version</x:v>
      </x:c>
      <x:c r="B46" s="20" t="str">
        <x:v>summary-result-v1</x:v>
      </x:c>
    </x:row>
    <x:row r="47" ht="34.1796875" hidden="0" customHeight="1">
      <x:c r="A47" s="20" t="str">
        <x:v>thesis_protocol_schema_version</x:v>
      </x:c>
      <x:c r="B47" s="20" t="str">
        <x:v>thesis-protocol-v1</x:v>
      </x:c>
    </x:row>
    <x:row r="48" ht="34.1796875" hidden="0" customHeight="1">
      <x:c r="A48" s="20" t="inlineStr">
        <x:is>
          <x:t xml:space="preserve">artifact_schema_version</x:t>
        </x:is>
      </x:c>
      <x:c r="B48" s="20" t="inlineStr">
        <x:is>
          <x:t xml:space="preserve">artifact-v1</x:t>
        </x:is>
      </x:c>
    </x:row>
    <x:row r="49" ht="34.1796875" hidden="0" customHeight="1">
      <x:c r="A49" s="20" t="inlineStr">
        <x:is>
          <x:t xml:space="preserve">workbook_writeback_schema_version</x:t>
        </x:is>
      </x:c>
      <x:c r="B49" s="20" t="inlineStr">
        <x:is>
          <x:t xml:space="preserve">workbook-writeback-v1</x:t>
        </x:is>
      </x:c>
    </x:row>
    <x:row r="50" ht="34.1796875" hidden="0" customHeight="1">
      <x:c r="A50" s="20" t="inlineStr">
        <x:is>
          <x:t xml:space="preserve">summary_result_schema_version</x:t>
        </x:is>
      </x:c>
      <x:c r="B50" s="20" t="inlineStr">
        <x:is>
          <x:t xml:space="preserve">summary-result-v1</x:t>
        </x:is>
      </x:c>
    </x:row>
    <x:row r="51" ht="34.1796875" hidden="0" customHeight="1">
      <x:c r="A51" s="20" t="inlineStr">
        <x:is>
          <x:t xml:space="preserve">thesis_protocol_schema_version</x:t>
        </x:is>
      </x:c>
      <x:c r="B51" s="20" t="inlineStr">
        <x:is>
          <x:t xml:space="preserve">thesis-protocol-v1</x:t>
        </x:is>
      </x:c>
    </x:row>
    <x:row r="52" ht="68.359375" hidden="0" customHeight="1">
      <x:c r="A52" s="25" t="inlineStr">
        <x:is>
          <x:t xml:space="preserve">Generated by create_thesis_experiment_workbook.py (v2)</x:t>
        </x:is>
      </x:c>
      <x:c r="B52" s="20"/>
    </x:row>
  </x:sheetData>
  <x:mergeCells>
    <x:mergeCell ref="B9:I10"/>
    <x:mergeCell ref="B12:I13"/>
    <x:mergeCell ref="B18:I19"/>
    <x:mergeCell ref="B3:I4"/>
    <x:mergeCell ref="B36:I37"/>
    <x:mergeCell ref="B33:I34"/>
    <x:mergeCell ref="A1:I1"/>
    <x:mergeCell ref="B6:I7"/>
    <x:mergeCell ref="B21:I22"/>
    <x:mergeCell ref="B15:I16"/>
    <x:mergeCell ref="A39:I40"/>
    <x:mergeCell ref="B24:I25"/>
    <x:mergeCell ref="B30:I31"/>
    <x:mergeCell ref="B27:I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0" hidden="0" customWidth="1"/>
    <x:col min="2" max="2" width="24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8" hidden="0" customWidth="1"/>
    <x:col min="8" max="8" width="28" hidden="0" customWidth="1"/>
    <x:col min="9" max="9" width="26" hidden="0" customWidth="1"/>
    <x:col min="10" max="10" width="18" hidden="0" customWidth="1"/>
    <x:col min="11" max="11" width="26" hidden="0" customWidth="1"/>
    <x:col min="12" max="12" width="32" hidden="0" customWidth="1"/>
    <x:col min="13" max="13" width="20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16" hidden="0" customWidth="1"/>
    <x:col min="19" max="19" width="22" hidden="0" customWidth="1"/>
    <x:col min="20" max="20" width="24" hidden="0" customWidth="1"/>
    <x:col min="21" max="21" width="28" hidden="0" customWidth="1"/>
    <x:col min="22" max="22" width="24" hidden="0" customWidth="1"/>
    <x:col min="23" max="23" width="24" hidden="0" customWidth="1"/>
    <x:col min="24" max="24" width="26" hidden="0" customWidth="1"/>
    <x:col min="25" max="25" width="22" hidden="0" customWidth="1"/>
    <x:col min="26" max="26" width="28" hidden="0" customWidth="1"/>
    <x:col min="27" max="27" width="14" hidden="0" customWidth="1"/>
    <x:col min="28" max="28" width="18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</x:cols>
  <x:sheetData>
    <x:row r="1" ht="34.1796875" hidden="0" customHeight="1">
      <x:c r="A1" s="26" t="inlineStr">
        <x:is>
          <x:t xml:space="preserve">Experiment_ID</x:t>
        </x:is>
      </x:c>
      <x:c r="B1" s="26" t="inlineStr">
        <x:is>
          <x:t xml:space="preserve">Short_Title</x:t>
        </x:is>
      </x:c>
      <x:c r="C1" s="26" t="inlineStr">
        <x:is>
          <x:t xml:space="preserve">Category</x:t>
        </x:is>
      </x:c>
      <x:c r="D1" s="26" t="inlineStr">
        <x:is>
          <x:t xml:space="preserve">Evidential_Role</x:t>
        </x:is>
      </x:c>
      <x:c r="E1" s="26" t="inlineStr">
        <x:is>
          <x:t xml:space="preserve">Stage</x:t>
        </x:is>
      </x:c>
      <x:c r="F1" s="26" t="inlineStr">
        <x:is>
          <x:t xml:space="preserve">Priority</x:t>
        </x:is>
      </x:c>
      <x:c r="G1" s="26" t="inlineStr">
        <x:is>
          <x:t xml:space="preserve">Decision_Supported</x:t>
        </x:is>
      </x:c>
      <x:c r="H1" s="26" t="inlineStr">
        <x:is>
          <x:t xml:space="preserve">Exact_Question</x:t>
        </x:is>
      </x:c>
      <x:c r="I1" s="26" t="inlineStr">
        <x:is>
          <x:t xml:space="preserve">Hypothesis_or_Expectation</x:t>
        </x:is>
      </x:c>
      <x:c r="J1" s="26" t="inlineStr">
        <x:is>
          <x:t xml:space="preserve">Manipulated_Factor</x:t>
        </x:is>
      </x:c>
      <x:c r="K1" s="26" t="inlineStr">
        <x:is>
          <x:t xml:space="preserve">Held_Constant_Controls</x:t>
        </x:is>
      </x:c>
      <x:c r="L1" s="26" t="inlineStr">
        <x:is>
          <x:t xml:space="preserve">Dataset_Scope</x:t>
        </x:is>
      </x:c>
      <x:c r="M1" s="26" t="inlineStr">
        <x:is>
          <x:t xml:space="preserve">Target_Definition</x:t>
        </x:is>
      </x:c>
      <x:c r="N1" s="26" t="inlineStr">
        <x:is>
          <x:t xml:space="preserve">Split_Logic</x:t>
        </x:is>
      </x:c>
      <x:c r="O1" s="26" t="inlineStr">
        <x:is>
          <x:t xml:space="preserve">Leakage_Risk</x:t>
        </x:is>
      </x:c>
      <x:c r="P1" s="26" t="inlineStr">
        <x:is>
          <x:t xml:space="preserve">Leakage_Control</x:t>
        </x:is>
      </x:c>
      <x:c r="Q1" s="26" t="inlineStr">
        <x:is>
          <x:t xml:space="preserve">Models_Compared</x:t>
        </x:is>
      </x:c>
      <x:c r="R1" s="26" t="inlineStr">
        <x:is>
          <x:t xml:space="preserve">Primary_Metric</x:t>
        </x:is>
      </x:c>
      <x:c r="S1" s="26" t="inlineStr">
        <x:is>
          <x:t xml:space="preserve">Secondary_Metrics</x:t>
        </x:is>
      </x:c>
      <x:c r="T1" s="26" t="inlineStr">
        <x:is>
          <x:t xml:space="preserve">Robustness_Checks</x:t>
        </x:is>
      </x:c>
      <x:c r="U1" s="26" t="inlineStr">
        <x:is>
          <x:t xml:space="preserve">Decision_Criterion</x:t>
        </x:is>
      </x:c>
      <x:c r="V1" s="26" t="inlineStr">
        <x:is>
          <x:t xml:space="preserve">Success_Pattern</x:t>
        </x:is>
      </x:c>
      <x:c r="W1" s="26" t="inlineStr">
        <x:is>
          <x:t xml:space="preserve">Failure_or_Warning_Pattern</x:t>
        </x:is>
      </x:c>
      <x:c r="X1" s="26" t="inlineStr">
        <x:is>
          <x:t xml:space="preserve">Threats_to_Validity</x:t>
        </x:is>
      </x:c>
      <x:c r="Y1" s="26" t="inlineStr">
        <x:is>
          <x:t xml:space="preserve">Reporting_Destination</x:t>
        </x:is>
      </x:c>
      <x:c r="Z1" s="26" t="inlineStr">
        <x:is>
          <x:t xml:space="preserve">Interpretation_Boundary</x:t>
        </x:is>
      </x:c>
      <x:c r="AA1" s="26" t="inlineStr">
        <x:is>
          <x:t xml:space="preserve">Status</x:t>
        </x:is>
      </x:c>
      <x:c r="AB1" s="26" t="inlineStr">
        <x:is>
          <x:t xml:space="preserve">Owner</x:t>
        </x:is>
      </x:c>
      <x:c r="AC1" s="26" t="inlineStr">
        <x:is>
          <x:t xml:space="preserve">Outcome_Summary</x:t>
        </x:is>
      </x:c>
      <x:c r="AD1" s="26" t="inlineStr">
        <x:is>
          <x:t xml:space="preserve">Decision_Taken</x:t>
        </x:is>
      </x:c>
      <x:c r="AE1" s="26" t="inlineStr">
        <x:is>
          <x:t xml:space="preserve">Notes</x:t>
        </x:is>
      </x:c>
      <x:c r="AF1" s="26" t="inlineStr">
        <x:is>
          <x:t xml:space="preserve">Experiment_Ready</x:t>
        </x:is>
      </x:c>
    </x:row>
    <x:row r="2" ht="119.62890625" hidden="0" customHeight="1">
      <x:c r="A2" s="27" t="inlineStr">
        <x:is>
          <x:t xml:space="preserve">E01</x:t>
        </x:is>
      </x:c>
      <x:c r="B2" s="27" t="inlineStr">
        <x:is>
          <x:t xml:space="preserve">Target granularity experiment</x:t>
        </x:is>
      </x:c>
      <x:c r="C2" s="27" t="inlineStr">
        <x:is>
          <x:t xml:space="preserve">Target-definition</x:t>
        </x:is>
      </x:c>
      <x:c r="D2" s="27" t="inlineStr">
        <x:is>
          <x:t xml:space="preserve">Secondary decision-support</x:t>
        </x:is>
      </x:c>
      <x:c r="E2" s="27" t="inlineStr">
        <x:is>
          <x:t xml:space="preserve">Stage 1 - Target lock</x:t>
        </x:is>
      </x:c>
      <x:c r="F2" s="27" t="inlineStr">
        <x:is>
          <x:t xml:space="preserve">High</x:t>
        </x:is>
      </x:c>
      <x:c r="G2" s="27" t="inlineStr">
        <x:is>
          <x:t xml:space="preserve">Final target lock</x:t>
        </x:is>
      </x:c>
      <x:c r="H2" s="27" t="inlineStr">
        <x:is>
          <x:t xml:space="preserve">Should the thesis use fine-grained emotion labels, three-class coarse affect, or binary valence-like labels?</x:t>
        </x:is>
      </x:c>
      <x:c r="I2" s="27" t="inlineStr">
        <x:is>
          <x:t xml:space="preserve">coarse_affect likely balances construct validity, class balance, and learnability.</x:t>
        </x:is>
      </x:c>
      <x:c r="J2" s="27" t="inlineStr">
        <x:is>
          <x:t xml:space="preserve">Target definition</x:t>
        </x:is>
      </x:c>
      <x:c r="K2" s="27" t="inlineStr">
        <x:is>
          <x:t xml:space="preserve">Dataset index version, train-only fitting policy, metric definitions, seed policy, artifact schema.</x:t>
        </x:is>
      </x:c>
      <x:c r="L2" s="27" t="inlineStr">
        <x:is>
          <x:t xml:space="preserve">Internal repeated-session BAS2 dataset (sub-001 and sub-002) unless explicitly external.</x:t>
        </x:is>
      </x:c>
      <x:c r="M2" s="27" t="inlineStr">
        <x:is>
          <x:t xml:space="preserve">fine emotion vs coarse_affect vs binary valence-like</x:t>
        </x:is>
      </x:c>
      <x:c r="N2" s="27" t="inlineStr">
        <x:is>
          <x:t xml:space="preserve">within_subject_loso_session for primary comparison; frozen transfer as secondary check</x:t>
        </x:is>
      </x:c>
      <x:c r="O2" s="27" t="inlineStr">
        <x:is>
          <x:t xml:space="preserve">Performance inflation if split logic or fit scope leaks train/test information.</x:t>
        </x:is>
      </x:c>
      <x:c r="P2" s="27" t="inlineStr">
        <x:is>
          <x:t xml:space="preserve">Predefined split manifests, train-only fitting, frozen transfer where applicable, no test-driven tuning.</x:t>
        </x:is>
      </x:c>
      <x:c r="Q2" s="27" t="inlineStr">
        <x:is>
          <x:t xml:space="preserve">ridge baseline unless model family is manipulated.</x:t>
        </x:is>
      </x:c>
      <x:c r="R2" s="27" t="inlineStr">
        <x:is>
          <x:t xml:space="preserve">Balanced accuracy</x:t>
        </x:is>
      </x:c>
      <x:c r="S2" s="27" t="inlineStr">
        <x:is>
          <x:t xml:space="preserve">Macro-F1; class-wise recall; accuracy</x:t>
        </x:is>
      </x:c>
      <x:c r="T2" s="27" t="inlineStr">
        <x:is>
          <x:t xml:space="preserve">Fold-level checks and stress controls where relevant.</x:t>
        </x:is>
      </x:c>
      <x:c r="U2" s="27" t="inlineStr">
        <x:is>
          <x:t xml:space="preserve">Prefer target balancing construct validity, class balance, sample sufficiency, and learnability under claim-matched evaluation.</x:t>
        </x:is>
      </x:c>
      <x:c r="V2" s="27" t="inlineStr">
        <x:is>
          <x:t xml:space="preserve">Stable claim-consistent performance without leakage indicators.</x:t>
        </x:is>
      </x:c>
      <x:c r="W2" s="27" t="inlineStr">
        <x:is>
          <x:t xml:space="preserve">Weak-split inflation, instability, class collapse, or directionally inconsistent evidence.</x:t>
        </x:is>
      </x:c>
      <x:c r="X2" s="27" t="inlineStr">
        <x:is>
          <x:t xml:space="preserve">Class imbalance, sample limits, domain shift, and model/split sensitivity.</x:t>
        </x:is>
      </x:c>
      <x:c r="Y2" s="27" t="inlineStr">
        <x:is>
          <x:t xml:space="preserve">Chapter 3 Method choice</x:t>
        </x:is>
      </x:c>
      <x:c r="Z2" s="27" t="inlineStr">
        <x:is>
          <x:t xml:space="preserve">Interpret only under stated split logic/evidence tier; no causal or localization claims.</x:t>
        </x:is>
      </x:c>
      <x:c r="AA2" s="27" t="inlineStr">
        <x:is>
          <x:t xml:space="preserve">Planned</x:t>
        </x:is>
      </x:c>
      <x:c r="AB2" s="27" t="inlineStr">
        <x:is>
          <x:t xml:space="preserve">Khaled (thesis author)</x:t>
        </x:is>
      </x:c>
      <x:c r="AC2" s="27" t="inlineStr">
        <x:is>
          <x:t xml:space="preserve"/>
        </x:is>
      </x:c>
      <x:c r="AD2" s="27" t="inlineStr">
        <x:is>
          <x:t xml:space="preserve"/>
        </x:is>
      </x:c>
      <x:c r="AE2" s="27" t="inlineStr">
        <x:is>
          <x:t xml:space="preserve"/>
        </x:is>
      </x:c>
      <x:c r="AF2" s="27" t="str">
        <x:f>IF($AA2="Dropped","N/A",IF(AND($H2&lt;&gt;"",$J2&lt;&gt;"",$K2&lt;&gt;"",$M2&lt;&gt;"",$N2&lt;&gt;"",$P2&lt;&gt;"",$R2&lt;&gt;"",$U2&lt;&gt;"",$V2&lt;&gt;"",$W2&lt;&gt;"",$Z2&lt;&gt;"",$Y2&lt;&gt;""),"READY","INCOMPLETE"))</x:f>
        <x:v>READY</x:v>
      </x:c>
    </x:row>
    <x:row r="3" ht="85.44921875" hidden="0" customHeight="1">
      <x:c r="A3" s="22" t="inlineStr">
        <x:is>
          <x:t xml:space="preserve">E02</x:t>
        </x:is>
      </x:c>
      <x:c r="B3" s="22" t="inlineStr">
        <x:is>
          <x:t xml:space="preserve">Task pooling experiment</x:t>
        </x:is>
      </x:c>
      <x:c r="C3" s="22" t="inlineStr">
        <x:is>
          <x:t xml:space="preserve">Target-definition</x:t>
        </x:is>
      </x:c>
      <x:c r="D3" s="22" t="inlineStr">
        <x:is>
          <x:t xml:space="preserve">Secondary decision-support</x:t>
        </x:is>
      </x:c>
      <x:c r="E3" s="22" t="inlineStr">
        <x:is>
          <x:t xml:space="preserve">Stage 1 - Target lock</x:t>
        </x:is>
      </x:c>
      <x:c r="F3" s="22" t="inlineStr">
        <x:is>
          <x:t xml:space="preserve">Medium</x:t>
        </x:is>
      </x:c>
      <x:c r="G3" s="22" t="inlineStr">
        <x:is>
          <x:t xml:space="preserve">Task pooling policy</x:t>
        </x:is>
      </x:c>
      <x:c r="H3" s="22" t="inlineStr">
        <x:is>
          <x:t xml:space="preserve">Should the main target be learned across all tasks together, or separately by task?</x:t>
        </x:is>
      </x:c>
      <x:c r="I3" s="22" t="inlineStr">
        <x:is>
          <x:t xml:space="preserve">Evaluate under leakage-aware claim-matched split logic before interpretation.</x:t>
        </x:is>
      </x:c>
      <x:c r="J3" s="22" t="inlineStr">
        <x:is>
          <x:t xml:space="preserve">Pooling strategy by task</x:t>
        </x:is>
      </x:c>
      <x:c r="K3" s="22" t="inlineStr">
        <x:is>
          <x:t xml:space="preserve">Dataset index version, train-only fitting policy, metric definitions, seed policy, artifact schema.</x:t>
        </x:is>
      </x:c>
      <x:c r="L3" s="22" t="inlineStr">
        <x:is>
          <x:t xml:space="preserve">Internal repeated-session BAS2 dataset (sub-001 and sub-002) unless explicitly external.</x:t>
        </x:is>
      </x:c>
      <x:c r="M3" s="22" t="inlineStr">
        <x:is>
          <x:t xml:space="preserve">coarse_affect unless this experiment manipulates target granularity.</x:t>
        </x:is>
      </x:c>
      <x:c r="N3" s="22" t="inlineStr">
        <x:is>
          <x:t xml:space="preserve">Claim-matched leakage-safe split strategy.</x:t>
        </x:is>
      </x:c>
      <x:c r="O3" s="22" t="inlineStr">
        <x:is>
          <x:t xml:space="preserve">Performance inflation if split logic or fit scope leaks train/test information.</x:t>
        </x:is>
      </x:c>
      <x:c r="P3" s="22" t="inlineStr">
        <x:is>
          <x:t xml:space="preserve">Predefined split manifests, train-only fitting, frozen transfer where applicable, no test-driven tuning.</x:t>
        </x:is>
      </x:c>
      <x:c r="Q3" s="22" t="inlineStr">
        <x:is>
          <x:t xml:space="preserve">ridge baseline unless model family is manipulated.</x:t>
        </x:is>
      </x:c>
      <x:c r="R3" s="22" t="inlineStr">
        <x:is>
          <x:t xml:space="preserve">Balanced accuracy</x:t>
        </x:is>
      </x:c>
      <x:c r="S3" s="22" t="inlineStr">
        <x:is>
          <x:t xml:space="preserve">Macro-F1; class-wise recall; accuracy</x:t>
        </x:is>
      </x:c>
      <x:c r="T3" s="22" t="inlineStr">
        <x:is>
          <x:t xml:space="preserve">Fold-level checks and stress controls where relevant.</x:t>
        </x:is>
      </x:c>
      <x:c r="U3" s="22" t="inlineStr">
        <x:is>
          <x:t xml:space="preserve">Pre-specified criterion recorded before interpretation.</x:t>
        </x:is>
      </x:c>
      <x:c r="V3" s="22" t="inlineStr">
        <x:is>
          <x:t xml:space="preserve">Stable claim-consistent performance without leakage indicators.</x:t>
        </x:is>
      </x:c>
      <x:c r="W3" s="22" t="inlineStr">
        <x:is>
          <x:t xml:space="preserve">Weak-split inflation, instability, class collapse, or directionally inconsistent evidence.</x:t>
        </x:is>
      </x:c>
      <x:c r="X3" s="22" t="inlineStr">
        <x:is>
          <x:t xml:space="preserve">Class imbalance, sample limits, domain shift, and model/split sensitivity.</x:t>
        </x:is>
      </x:c>
      <x:c r="Y3" s="22" t="inlineStr">
        <x:is>
          <x:t xml:space="preserve">Chapter 3 Method choice</x:t>
        </x:is>
      </x:c>
      <x:c r="Z3" s="22" t="inlineStr">
        <x:is>
          <x:t xml:space="preserve">Interpret only under stated split logic/evidence tier; no causal or localization claims.</x:t>
        </x:is>
      </x:c>
      <x:c r="AA3" s="22" t="inlineStr">
        <x:is>
          <x:t xml:space="preserve">Planned</x:t>
        </x:is>
      </x:c>
      <x:c r="AB3" s="22" t="inlineStr">
        <x:is>
          <x:t xml:space="preserve">Khaled (thesis author)</x:t>
        </x:is>
      </x:c>
      <x:c r="AC3" s="22" t="inlineStr">
        <x:is>
          <x:t xml:space="preserve"/>
        </x:is>
      </x:c>
      <x:c r="AD3" s="22" t="inlineStr">
        <x:is>
          <x:t xml:space="preserve"/>
        </x:is>
      </x:c>
      <x:c r="AE3" s="22" t="inlineStr">
        <x:is>
          <x:t xml:space="preserve"/>
        </x:is>
      </x:c>
      <x:c r="AF3" s="22" t="str">
        <x:f>IF($AA3="Dropped","N/A",IF(AND($H3&lt;&gt;"",$J3&lt;&gt;"",$K3&lt;&gt;"",$M3&lt;&gt;"",$N3&lt;&gt;"",$P3&lt;&gt;"",$R3&lt;&gt;"",$U3&lt;&gt;"",$V3&lt;&gt;"",$W3&lt;&gt;"",$Z3&lt;&gt;"",$Y3&lt;&gt;""),"READY","INCOMPLETE"))</x:f>
        <x:v>READY</x:v>
      </x:c>
    </x:row>
    <x:row r="4" ht="85.44921875" hidden="0" customHeight="1">
      <x:c r="A4" s="27" t="inlineStr">
        <x:is>
          <x:t xml:space="preserve">E03</x:t>
        </x:is>
      </x:c>
      <x:c r="B4" s="27" t="inlineStr">
        <x:is>
          <x:t xml:space="preserve">Modality pooling experiment</x:t>
        </x:is>
      </x:c>
      <x:c r="C4" s="27" t="inlineStr">
        <x:is>
          <x:t xml:space="preserve">Target-definition</x:t>
        </x:is>
      </x:c>
      <x:c r="D4" s="27" t="inlineStr">
        <x:is>
          <x:t xml:space="preserve">Secondary decision-support</x:t>
        </x:is>
      </x:c>
      <x:c r="E4" s="27" t="inlineStr">
        <x:is>
          <x:t xml:space="preserve">Stage 1 - Target lock</x:t>
        </x:is>
      </x:c>
      <x:c r="F4" s="27" t="inlineStr">
        <x:is>
          <x:t xml:space="preserve">Medium</x:t>
        </x:is>
      </x:c>
      <x:c r="G4" s="27" t="inlineStr">
        <x:is>
          <x:t xml:space="preserve">Modality pooling policy</x:t>
        </x:is>
      </x:c>
      <x:c r="H4" s="27" t="inlineStr">
        <x:is>
          <x:t xml:space="preserve">Should audio, video, and audiovisual conditions be pooled or modeled separately?</x:t>
        </x:is>
      </x:c>
      <x:c r="I4" s="27" t="inlineStr">
        <x:is>
          <x:t xml:space="preserve">Evaluate under leakage-aware claim-matched split logic before interpretation.</x:t>
        </x:is>
      </x:c>
      <x:c r="J4" s="27" t="inlineStr">
        <x:is>
          <x:t xml:space="preserve">Pooling strategy by modality</x:t>
        </x:is>
      </x:c>
      <x:c r="K4" s="27" t="inlineStr">
        <x:is>
          <x:t xml:space="preserve">Dataset index version, train-only fitting policy, metric definitions, seed policy, artifact schema.</x:t>
        </x:is>
      </x:c>
      <x:c r="L4" s="27" t="inlineStr">
        <x:is>
          <x:t xml:space="preserve">Internal repeated-session BAS2 dataset (sub-001 and sub-002) unless explicitly external.</x:t>
        </x:is>
      </x:c>
      <x:c r="M4" s="27" t="inlineStr">
        <x:is>
          <x:t xml:space="preserve">coarse_affect unless this experiment manipulates target granularity.</x:t>
        </x:is>
      </x:c>
      <x:c r="N4" s="27" t="inlineStr">
        <x:is>
          <x:t xml:space="preserve">Claim-matched leakage-safe split strategy.</x:t>
        </x:is>
      </x:c>
      <x:c r="O4" s="27" t="inlineStr">
        <x:is>
          <x:t xml:space="preserve">Performance inflation if split logic or fit scope leaks train/test information.</x:t>
        </x:is>
      </x:c>
      <x:c r="P4" s="27" t="inlineStr">
        <x:is>
          <x:t xml:space="preserve">Predefined split manifests, train-only fitting, frozen transfer where applicable, no test-driven tuning.</x:t>
        </x:is>
      </x:c>
      <x:c r="Q4" s="27" t="inlineStr">
        <x:is>
          <x:t xml:space="preserve">ridge baseline unless model family is manipulated.</x:t>
        </x:is>
      </x:c>
      <x:c r="R4" s="27" t="inlineStr">
        <x:is>
          <x:t xml:space="preserve">Balanced accuracy</x:t>
        </x:is>
      </x:c>
      <x:c r="S4" s="27" t="inlineStr">
        <x:is>
          <x:t xml:space="preserve">Macro-F1; class-wise recall; accuracy</x:t>
        </x:is>
      </x:c>
      <x:c r="T4" s="27" t="inlineStr">
        <x:is>
          <x:t xml:space="preserve">Fold-level checks and stress controls where relevant.</x:t>
        </x:is>
      </x:c>
      <x:c r="U4" s="27" t="inlineStr">
        <x:is>
          <x:t xml:space="preserve">Pre-specified criterion recorded before interpretation.</x:t>
        </x:is>
      </x:c>
      <x:c r="V4" s="27" t="inlineStr">
        <x:is>
          <x:t xml:space="preserve">Stable claim-consistent performance without leakage indicators.</x:t>
        </x:is>
      </x:c>
      <x:c r="W4" s="27" t="inlineStr">
        <x:is>
          <x:t xml:space="preserve">Weak-split inflation, instability, class collapse, or directionally inconsistent evidence.</x:t>
        </x:is>
      </x:c>
      <x:c r="X4" s="27" t="inlineStr">
        <x:is>
          <x:t xml:space="preserve">Class imbalance, sample limits, domain shift, and model/split sensitivity.</x:t>
        </x:is>
      </x:c>
      <x:c r="Y4" s="27" t="inlineStr">
        <x:is>
          <x:t xml:space="preserve">Chapter 3 Method choice</x:t>
        </x:is>
      </x:c>
      <x:c r="Z4" s="27" t="inlineStr">
        <x:is>
          <x:t xml:space="preserve">Interpret only under stated split logic/evidence tier; no causal or localization claims.</x:t>
        </x:is>
      </x:c>
      <x:c r="AA4" s="27" t="inlineStr">
        <x:is>
          <x:t xml:space="preserve">Planned</x:t>
        </x:is>
      </x:c>
      <x:c r="AB4" s="27" t="inlineStr">
        <x:is>
          <x:t xml:space="preserve">Khaled (thesis author)</x:t>
        </x:is>
      </x:c>
      <x:c r="AC4" s="27" t="inlineStr">
        <x:is>
          <x:t xml:space="preserve"/>
        </x:is>
      </x:c>
      <x:c r="AD4" s="27" t="inlineStr">
        <x:is>
          <x:t xml:space="preserve"/>
        </x:is>
      </x:c>
      <x:c r="AE4" s="27" t="inlineStr">
        <x:is>
          <x:t xml:space="preserve"/>
        </x:is>
      </x:c>
      <x:c r="AF4" s="27" t="str">
        <x:f>IF($AA4="Dropped","N/A",IF(AND($H4&lt;&gt;"",$J4&lt;&gt;"",$K4&lt;&gt;"",$M4&lt;&gt;"",$N4&lt;&gt;"",$P4&lt;&gt;"",$R4&lt;&gt;"",$U4&lt;&gt;"",$V4&lt;&gt;"",$W4&lt;&gt;"",$Z4&lt;&gt;"",$Y4&lt;&gt;""),"READY","INCOMPLETE"))</x:f>
        <x:v>READY</x:v>
      </x:c>
    </x:row>
    <x:row r="5" ht="102.5390625" hidden="0" customHeight="1">
      <x:c r="A5" s="22" t="inlineStr">
        <x:is>
          <x:t xml:space="preserve">E04</x:t>
        </x:is>
      </x:c>
      <x:c r="B5" s="22" t="inlineStr">
        <x:is>
          <x:t xml:space="preserve">Split-strength stress test</x:t>
        </x:is>
      </x:c>
      <x:c r="C5" s="22" t="inlineStr">
        <x:is>
          <x:t xml:space="preserve">Split-design</x:t>
        </x:is>
      </x:c>
      <x:c r="D5" s="22" t="inlineStr">
        <x:is>
          <x:t xml:space="preserve">Secondary decision-support</x:t>
        </x:is>
      </x:c>
      <x:c r="E5" s="22" t="inlineStr">
        <x:is>
          <x:t xml:space="preserve">Stage 2 - Split lock</x:t>
        </x:is>
      </x:c>
      <x:c r="F5" s="22" t="inlineStr">
        <x:is>
          <x:t xml:space="preserve">High</x:t>
        </x:is>
      </x:c>
      <x:c r="G5" s="22" t="inlineStr">
        <x:is>
          <x:t xml:space="preserve">Primary split policy</x:t>
        </x:is>
      </x:c>
      <x:c r="H5" s="22" t="inlineStr">
        <x:is>
          <x:t xml:space="preserve">How much do conclusions change under weaker split strategies compared with session-held-out evaluation?</x:t>
        </x:is>
      </x:c>
      <x:c r="I5" s="22" t="inlineStr">
        <x:is>
          <x:t xml:space="preserve">Evaluate under leakage-aware claim-matched split logic before interpretation.</x:t>
        </x:is>
      </x:c>
      <x:c r="J5" s="22" t="inlineStr">
        <x:is>
          <x:t xml:space="preserve">Split logic</x:t>
        </x:is>
      </x:c>
      <x:c r="K5" s="22" t="inlineStr">
        <x:is>
          <x:t xml:space="preserve">Dataset index version, train-only fitting policy, metric definitions, seed policy, artifact schema.</x:t>
        </x:is>
      </x:c>
      <x:c r="L5" s="22" t="inlineStr">
        <x:is>
          <x:t xml:space="preserve">Internal repeated-session BAS2 dataset (sub-001 and sub-002) unless explicitly external.</x:t>
        </x:is>
      </x:c>
      <x:c r="M5" s="22" t="inlineStr">
        <x:is>
          <x:t xml:space="preserve">coarse_affect unless this experiment manipulates target granularity.</x:t>
        </x:is>
      </x:c>
      <x:c r="N5" s="22" t="inlineStr">
        <x:is>
          <x:t xml:space="preserve">record-wise random split vs weaker grouped split vs within-person leave-one-session-out</x:t>
        </x:is>
      </x:c>
      <x:c r="O5" s="22" t="inlineStr">
        <x:is>
          <x:t xml:space="preserve">High under weak splits</x:t>
        </x:is>
      </x:c>
      <x:c r="P5" s="22" t="inlineStr">
        <x:is>
          <x:t xml:space="preserve">Predefined split manifests, train-only fitting, frozen transfer where applicable, no test-driven tuning.</x:t>
        </x:is>
      </x:c>
      <x:c r="Q5" s="22" t="inlineStr">
        <x:is>
          <x:t xml:space="preserve">ridge baseline unless model family is manipulated.</x:t>
        </x:is>
      </x:c>
      <x:c r="R5" s="22" t="inlineStr">
        <x:is>
          <x:t xml:space="preserve">Balanced accuracy</x:t>
        </x:is>
      </x:c>
      <x:c r="S5" s="22" t="inlineStr">
        <x:is>
          <x:t xml:space="preserve">Macro-F1; class-wise recall; accuracy</x:t>
        </x:is>
      </x:c>
      <x:c r="T5" s="22" t="inlineStr">
        <x:is>
          <x:t xml:space="preserve">Fold-level checks and stress controls where relevant.</x:t>
        </x:is>
      </x:c>
      <x:c r="U5" s="22" t="inlineStr">
        <x:is>
          <x:t xml:space="preserve">Retain strictest split matching claim; weaker splits only as inflation/leakage demonstrations.</x:t>
        </x:is>
      </x:c>
      <x:c r="V5" s="22" t="inlineStr">
        <x:is>
          <x:t xml:space="preserve">Stable claim-consistent performance without leakage indicators.</x:t>
        </x:is>
      </x:c>
      <x:c r="W5" s="22" t="inlineStr">
        <x:is>
          <x:t xml:space="preserve">Weak-split inflation, instability, class collapse, or directionally inconsistent evidence.</x:t>
        </x:is>
      </x:c>
      <x:c r="X5" s="22" t="inlineStr">
        <x:is>
          <x:t xml:space="preserve">Class imbalance, sample limits, domain shift, and model/split sensitivity.</x:t>
        </x:is>
      </x:c>
      <x:c r="Y5" s="22" t="inlineStr">
        <x:is>
          <x:t xml:space="preserve">Chapter 3 Method choice</x:t>
        </x:is>
      </x:c>
      <x:c r="Z5" s="22" t="inlineStr">
        <x:is>
          <x:t xml:space="preserve">Interpret only under stated split logic/evidence tier; no causal or localization claims.</x:t>
        </x:is>
      </x:c>
      <x:c r="AA5" s="22" t="inlineStr">
        <x:is>
          <x:t xml:space="preserve">Planned</x:t>
        </x:is>
      </x:c>
      <x:c r="AB5" s="22" t="inlineStr">
        <x:is>
          <x:t xml:space="preserve">Khaled (thesis author)</x:t>
        </x:is>
      </x:c>
      <x:c r="AC5" s="22" t="inlineStr">
        <x:is>
          <x:t xml:space="preserve"/>
        </x:is>
      </x:c>
      <x:c r="AD5" s="22" t="inlineStr">
        <x:is>
          <x:t xml:space="preserve"/>
        </x:is>
      </x:c>
      <x:c r="AE5" s="22" t="inlineStr">
        <x:is>
          <x:t xml:space="preserve"/>
        </x:is>
      </x:c>
      <x:c r="AF5" s="22" t="str">
        <x:f>IF($AA5="Dropped","N/A",IF(AND($H5&lt;&gt;"",$J5&lt;&gt;"",$K5&lt;&gt;"",$M5&lt;&gt;"",$N5&lt;&gt;"",$P5&lt;&gt;"",$R5&lt;&gt;"",$U5&lt;&gt;"",$V5&lt;&gt;"",$W5&lt;&gt;"",$Z5&lt;&gt;"",$Y5&lt;&gt;""),"READY","INCOMPLETE"))</x:f>
        <x:v>READY</x:v>
      </x:c>
    </x:row>
    <x:row r="6" ht="85.44921875" hidden="0" customHeight="1">
      <x:c r="A6" s="27" t="inlineStr">
        <x:is>
          <x:t xml:space="preserve">E05</x:t>
        </x:is>
      </x:c>
      <x:c r="B6" s="27" t="inlineStr">
        <x:is>
          <x:t xml:space="preserve">Cross-person transfer design</x:t>
        </x:is>
      </x:c>
      <x:c r="C6" s="27" t="inlineStr">
        <x:is>
          <x:t xml:space="preserve">Split-design</x:t>
        </x:is>
      </x:c>
      <x:c r="D6" s="27" t="inlineStr">
        <x:is>
          <x:t xml:space="preserve">Secondary decision-support</x:t>
        </x:is>
      </x:c>
      <x:c r="E6" s="27" t="inlineStr">
        <x:is>
          <x:t xml:space="preserve">Stage 2 - Split lock</x:t>
        </x:is>
      </x:c>
      <x:c r="F6" s="27" t="inlineStr">
        <x:is>
          <x:t xml:space="preserve">High</x:t>
        </x:is>
      </x:c>
      <x:c r="G6" s="27" t="inlineStr">
        <x:is>
          <x:t xml:space="preserve">Cross-person transfer framing</x:t>
        </x:is>
      </x:c>
      <x:c r="H6" s="27" t="inlineStr">
        <x:is>
          <x:t xml:space="preserve">How should cross-person generalization be framed and evaluated?</x:t>
        </x:is>
      </x:c>
      <x:c r="I6" s="27" t="inlineStr">
        <x:is>
          <x:t xml:space="preserve">Evaluate under leakage-aware claim-matched split logic before interpretation.</x:t>
        </x:is>
      </x:c>
      <x:c r="J6" s="27" t="inlineStr">
        <x:is>
          <x:t xml:space="preserve">Transfer protocol</x:t>
        </x:is>
      </x:c>
      <x:c r="K6" s="27" t="inlineStr">
        <x:is>
          <x:t xml:space="preserve">Dataset index version, train-only fitting policy, metric definitions, seed policy, artifact schema.</x:t>
        </x:is>
      </x:c>
      <x:c r="L6" s="27" t="inlineStr">
        <x:is>
          <x:t xml:space="preserve">Internal repeated-session BAS2 dataset (sub-001 and sub-002) unless explicitly external.</x:t>
        </x:is>
      </x:c>
      <x:c r="M6" s="27" t="inlineStr">
        <x:is>
          <x:t xml:space="preserve">coarse_affect unless this experiment manipulates target granularity.</x:t>
        </x:is>
      </x:c>
      <x:c r="N6" s="27" t="inlineStr">
        <x:is>
          <x:t xml:space="preserve">frozen train-on-A/test-on-B and reverse direction</x:t>
        </x:is>
      </x:c>
      <x:c r="O6" s="27" t="inlineStr">
        <x:is>
          <x:t xml:space="preserve">Performance inflation if split logic or fit scope leaks train/test information.</x:t>
        </x:is>
      </x:c>
      <x:c r="P6" s="27" t="inlineStr">
        <x:is>
          <x:t xml:space="preserve">Fit only on train subject; no test subject re-fit/re-tune</x:t>
        </x:is>
      </x:c>
      <x:c r="Q6" s="27" t="inlineStr">
        <x:is>
          <x:t xml:space="preserve">ridge baseline unless model family is manipulated.</x:t>
        </x:is>
      </x:c>
      <x:c r="R6" s="27" t="inlineStr">
        <x:is>
          <x:t xml:space="preserve">Balanced accuracy</x:t>
        </x:is>
      </x:c>
      <x:c r="S6" s="27" t="inlineStr">
        <x:is>
          <x:t xml:space="preserve">Macro-F1; class-wise recall; accuracy</x:t>
        </x:is>
      </x:c>
      <x:c r="T6" s="27" t="inlineStr">
        <x:is>
          <x:t xml:space="preserve">Fold-level checks and stress controls where relevant.</x:t>
        </x:is>
      </x:c>
      <x:c r="U6" s="27" t="inlineStr">
        <x:is>
          <x:t xml:space="preserve">Keep frozen directional transfer as clean cross-case test.</x:t>
        </x:is>
      </x:c>
      <x:c r="V6" s="27" t="inlineStr">
        <x:is>
          <x:t xml:space="preserve">Stable claim-consistent performance without leakage indicators.</x:t>
        </x:is>
      </x:c>
      <x:c r="W6" s="27" t="inlineStr">
        <x:is>
          <x:t xml:space="preserve">Weak-split inflation, instability, class collapse, or directionally inconsistent evidence.</x:t>
        </x:is>
      </x:c>
      <x:c r="X6" s="27" t="inlineStr">
        <x:is>
          <x:t xml:space="preserve">Class imbalance, sample limits, domain shift, and model/split sensitivity.</x:t>
        </x:is>
      </x:c>
      <x:c r="Y6" s="27" t="inlineStr">
        <x:is>
          <x:t xml:space="preserve">Chapter 3 Method choice</x:t>
        </x:is>
      </x:c>
      <x:c r="Z6" s="27" t="inlineStr">
        <x:is>
          <x:t xml:space="preserve">Transfer evidence under domain shift, not population-level generalization.</x:t>
        </x:is>
      </x:c>
      <x:c r="AA6" s="27" t="inlineStr">
        <x:is>
          <x:t xml:space="preserve">Planned</x:t>
        </x:is>
      </x:c>
      <x:c r="AB6" s="27" t="inlineStr">
        <x:is>
          <x:t xml:space="preserve">Khaled (thesis author)</x:t>
        </x:is>
      </x:c>
      <x:c r="AC6" s="27" t="inlineStr">
        <x:is>
          <x:t xml:space="preserve"/>
        </x:is>
      </x:c>
      <x:c r="AD6" s="27" t="inlineStr">
        <x:is>
          <x:t xml:space="preserve"/>
        </x:is>
      </x:c>
      <x:c r="AE6" s="27" t="inlineStr">
        <x:is>
          <x:t xml:space="preserve"/>
        </x:is>
      </x:c>
      <x:c r="AF6" s="27" t="str">
        <x:f>IF($AA6="Dropped","N/A",IF(AND($H6&lt;&gt;"",$J6&lt;&gt;"",$K6&lt;&gt;"",$M6&lt;&gt;"",$N6&lt;&gt;"",$P6&lt;&gt;"",$R6&lt;&gt;"",$U6&lt;&gt;"",$V6&lt;&gt;"",$W6&lt;&gt;"",$Z6&lt;&gt;"",$Y6&lt;&gt;""),"READY","INCOMPLETE"))</x:f>
        <x:v>READY</x:v>
      </x:c>
    </x:row>
    <x:row r="7" ht="85.44921875" hidden="0" customHeight="1">
      <x:c r="A7" s="22" t="inlineStr">
        <x:is>
          <x:t xml:space="preserve">E06</x:t>
        </x:is>
      </x:c>
      <x:c r="B7" s="22" t="inlineStr">
        <x:is>
          <x:t xml:space="preserve">Linear model family comparison</x:t>
        </x:is>
      </x:c>
      <x:c r="C7" s="22" t="inlineStr">
        <x:is>
          <x:t xml:space="preserve">Model-comparison</x:t>
        </x:is>
      </x:c>
      <x:c r="D7" s="22" t="inlineStr">
        <x:is>
          <x:t xml:space="preserve">Secondary decision-support</x:t>
        </x:is>
      </x:c>
      <x:c r="E7" s="22" t="inlineStr">
        <x:is>
          <x:t xml:space="preserve">Stage 3 - Model lock</x:t>
        </x:is>
      </x:c>
      <x:c r="F7" s="22" t="inlineStr">
        <x:is>
          <x:t xml:space="preserve">High</x:t>
        </x:is>
      </x:c>
      <x:c r="G7" s="22" t="inlineStr">
        <x:is>
          <x:t xml:space="preserve">Model family lock</x:t>
        </x:is>
      </x:c>
      <x:c r="H7" s="22" t="inlineStr">
        <x:is>
          <x:t xml:space="preserve">Which linear model is the most appropriate default: ridge, logistic regression, or linear SVM?</x:t>
        </x:is>
      </x:c>
      <x:c r="I7" s="22" t="inlineStr">
        <x:is>
          <x:t xml:space="preserve">Evaluate under leakage-aware claim-matched split logic before interpretation.</x:t>
        </x:is>
      </x:c>
      <x:c r="J7" s="22" t="inlineStr">
        <x:is>
          <x:t xml:space="preserve">Model family</x:t>
        </x:is>
      </x:c>
      <x:c r="K7" s="22" t="inlineStr">
        <x:is>
          <x:t xml:space="preserve">Dataset index version, train-only fitting policy, metric definitions, seed policy, artifact schema.</x:t>
        </x:is>
      </x:c>
      <x:c r="L7" s="22" t="inlineStr">
        <x:is>
          <x:t xml:space="preserve">Internal repeated-session BAS2 dataset (sub-001 and sub-002) unless explicitly external.</x:t>
        </x:is>
      </x:c>
      <x:c r="M7" s="22" t="inlineStr">
        <x:is>
          <x:t xml:space="preserve">coarse_affect unless this experiment manipulates target granularity.</x:t>
        </x:is>
      </x:c>
      <x:c r="N7" s="22" t="inlineStr">
        <x:is>
          <x:t xml:space="preserve">Claim-matched leakage-safe split strategy.</x:t>
        </x:is>
      </x:c>
      <x:c r="O7" s="22" t="inlineStr">
        <x:is>
          <x:t xml:space="preserve">Performance inflation if split logic or fit scope leaks train/test information.</x:t>
        </x:is>
      </x:c>
      <x:c r="P7" s="22" t="inlineStr">
        <x:is>
          <x:t xml:space="preserve">Predefined split manifests, train-only fitting, frozen transfer where applicable, no test-driven tuning.</x:t>
        </x:is>
      </x:c>
      <x:c r="Q7" s="22" t="inlineStr">
        <x:is>
          <x:t xml:space="preserve">ridge vs logreg vs linearsvc</x:t>
        </x:is>
      </x:c>
      <x:c r="R7" s="22" t="inlineStr">
        <x:is>
          <x:t xml:space="preserve">Balanced accuracy</x:t>
        </x:is>
      </x:c>
      <x:c r="S7" s="22" t="inlineStr">
        <x:is>
          <x:t xml:space="preserve">Macro-F1; class-wise recall; accuracy</x:t>
        </x:is>
      </x:c>
      <x:c r="T7" s="22" t="inlineStr">
        <x:is>
          <x:t xml:space="preserve">Fold-level checks and stress controls where relevant.</x:t>
        </x:is>
      </x:c>
      <x:c r="U7" s="22" t="inlineStr">
        <x:is>
          <x:t xml:space="preserve">Prefer simplest model with comparable predictive performance and better robustness/stability.</x:t>
        </x:is>
      </x:c>
      <x:c r="V7" s="22" t="inlineStr">
        <x:is>
          <x:t xml:space="preserve">Stable claim-consistent performance without leakage indicators.</x:t>
        </x:is>
      </x:c>
      <x:c r="W7" s="22" t="inlineStr">
        <x:is>
          <x:t xml:space="preserve">Weak-split inflation, instability, class collapse, or directionally inconsistent evidence.</x:t>
        </x:is>
      </x:c>
      <x:c r="X7" s="22" t="inlineStr">
        <x:is>
          <x:t xml:space="preserve">Class imbalance, sample limits, domain shift, and model/split sensitivity.</x:t>
        </x:is>
      </x:c>
      <x:c r="Y7" s="22" t="inlineStr">
        <x:is>
          <x:t xml:space="preserve">Chapter 3 Method choice</x:t>
        </x:is>
      </x:c>
      <x:c r="Z7" s="22" t="inlineStr">
        <x:is>
          <x:t xml:space="preserve">Interpret only under stated split logic/evidence tier; no causal or localization claims.</x:t>
        </x:is>
      </x:c>
      <x:c r="AA7" s="22" t="inlineStr">
        <x:is>
          <x:t xml:space="preserve">Planned</x:t>
        </x:is>
      </x:c>
      <x:c r="AB7" s="22" t="inlineStr">
        <x:is>
          <x:t xml:space="preserve">Khaled (thesis author)</x:t>
        </x:is>
      </x:c>
      <x:c r="AC7" s="22" t="inlineStr">
        <x:is>
          <x:t xml:space="preserve"/>
        </x:is>
      </x:c>
      <x:c r="AD7" s="22" t="inlineStr">
        <x:is>
          <x:t xml:space="preserve"/>
        </x:is>
      </x:c>
      <x:c r="AE7" s="22" t="inlineStr">
        <x:is>
          <x:t xml:space="preserve"/>
        </x:is>
      </x:c>
      <x:c r="AF7" s="22" t="str">
        <x:f>IF($AA7="Dropped","N/A",IF(AND($H7&lt;&gt;"",$J7&lt;&gt;"",$K7&lt;&gt;"",$M7&lt;&gt;"",$N7&lt;&gt;"",$P7&lt;&gt;"",$R7&lt;&gt;"",$U7&lt;&gt;"",$V7&lt;&gt;"",$W7&lt;&gt;"",$Z7&lt;&gt;"",$Y7&lt;&gt;""),"READY","INCOMPLETE"))</x:f>
        <x:v>READY</x:v>
      </x:c>
    </x:row>
    <x:row r="8" ht="85.44921875" hidden="0" customHeight="1">
      <x:c r="A8" s="27" t="inlineStr">
        <x:is>
          <x:t xml:space="preserve">E07</x:t>
        </x:is>
      </x:c>
      <x:c r="B8" s="27" t="inlineStr">
        <x:is>
          <x:t xml:space="preserve">Class weighting experiment</x:t>
        </x:is>
      </x:c>
      <x:c r="C8" s="27" t="inlineStr">
        <x:is>
          <x:t xml:space="preserve">Model-comparison</x:t>
        </x:is>
      </x:c>
      <x:c r="D8" s="27" t="inlineStr">
        <x:is>
          <x:t xml:space="preserve">Secondary decision-support</x:t>
        </x:is>
      </x:c>
      <x:c r="E8" s="27" t="inlineStr">
        <x:is>
          <x:t xml:space="preserve">Stage 3 - Model lock</x:t>
        </x:is>
      </x:c>
      <x:c r="F8" s="27" t="inlineStr">
        <x:is>
          <x:t xml:space="preserve">Medium</x:t>
        </x:is>
      </x:c>
      <x:c r="G8" s="27" t="inlineStr">
        <x:is>
          <x:t xml:space="preserve">Weighting policy</x:t>
        </x:is>
      </x:c>
      <x:c r="H8" s="27" t="inlineStr">
        <x:is>
          <x:t xml:space="preserve">Does class weighting improve fairness across classes without creating instability?</x:t>
        </x:is>
      </x:c>
      <x:c r="I8" s="27" t="inlineStr">
        <x:is>
          <x:t xml:space="preserve">Evaluate under leakage-aware claim-matched split logic before interpretation.</x:t>
        </x:is>
      </x:c>
      <x:c r="J8" s="27" t="inlineStr">
        <x:is>
          <x:t xml:space="preserve">Weighting strategy</x:t>
        </x:is>
      </x:c>
      <x:c r="K8" s="27" t="inlineStr">
        <x:is>
          <x:t xml:space="preserve">Dataset index version, train-only fitting policy, metric definitions, seed policy, artifact schema.</x:t>
        </x:is>
      </x:c>
      <x:c r="L8" s="27" t="inlineStr">
        <x:is>
          <x:t xml:space="preserve">Internal repeated-session BAS2 dataset (sub-001 and sub-002) unless explicitly external.</x:t>
        </x:is>
      </x:c>
      <x:c r="M8" s="27" t="inlineStr">
        <x:is>
          <x:t xml:space="preserve">coarse_affect unless this experiment manipulates target granularity.</x:t>
        </x:is>
      </x:c>
      <x:c r="N8" s="27" t="inlineStr">
        <x:is>
          <x:t xml:space="preserve">Claim-matched leakage-safe split strategy.</x:t>
        </x:is>
      </x:c>
      <x:c r="O8" s="27" t="inlineStr">
        <x:is>
          <x:t xml:space="preserve">Performance inflation if split logic or fit scope leaks train/test information.</x:t>
        </x:is>
      </x:c>
      <x:c r="P8" s="27" t="inlineStr">
        <x:is>
          <x:t xml:space="preserve">Predefined split manifests, train-only fitting, frozen transfer where applicable, no test-driven tuning.</x:t>
        </x:is>
      </x:c>
      <x:c r="Q8" s="27" t="inlineStr">
        <x:is>
          <x:t xml:space="preserve">ridge baseline unless model family is manipulated.</x:t>
        </x:is>
      </x:c>
      <x:c r="R8" s="27" t="inlineStr">
        <x:is>
          <x:t xml:space="preserve">Balanced accuracy</x:t>
        </x:is>
      </x:c>
      <x:c r="S8" s="27" t="inlineStr">
        <x:is>
          <x:t xml:space="preserve">Macro-F1; class-wise recall; accuracy</x:t>
        </x:is>
      </x:c>
      <x:c r="T8" s="27" t="inlineStr">
        <x:is>
          <x:t xml:space="preserve">Fold-level checks and stress controls where relevant.</x:t>
        </x:is>
      </x:c>
      <x:c r="U8" s="27" t="inlineStr">
        <x:is>
          <x:t xml:space="preserve">Pre-specified criterion recorded before interpretation.</x:t>
        </x:is>
      </x:c>
      <x:c r="V8" s="27" t="inlineStr">
        <x:is>
          <x:t xml:space="preserve">Stable claim-consistent performance without leakage indicators.</x:t>
        </x:is>
      </x:c>
      <x:c r="W8" s="27" t="inlineStr">
        <x:is>
          <x:t xml:space="preserve">Weak-split inflation, instability, class collapse, or directionally inconsistent evidence.</x:t>
        </x:is>
      </x:c>
      <x:c r="X8" s="27" t="inlineStr">
        <x:is>
          <x:t xml:space="preserve">Class imbalance, sample limits, domain shift, and model/split sensitivity.</x:t>
        </x:is>
      </x:c>
      <x:c r="Y8" s="27" t="inlineStr">
        <x:is>
          <x:t xml:space="preserve">Chapter 3 Method choice</x:t>
        </x:is>
      </x:c>
      <x:c r="Z8" s="27" t="inlineStr">
        <x:is>
          <x:t xml:space="preserve">Interpret only under stated split logic/evidence tier; no causal or localization claims.</x:t>
        </x:is>
      </x:c>
      <x:c r="AA8" s="27" t="inlineStr">
        <x:is>
          <x:t xml:space="preserve">Planned</x:t>
        </x:is>
      </x:c>
      <x:c r="AB8" s="27" t="inlineStr">
        <x:is>
          <x:t xml:space="preserve">Khaled (thesis author)</x:t>
        </x:is>
      </x:c>
      <x:c r="AC8" s="27" t="inlineStr">
        <x:is>
          <x:t xml:space="preserve"/>
        </x:is>
      </x:c>
      <x:c r="AD8" s="27" t="inlineStr">
        <x:is>
          <x:t xml:space="preserve"/>
        </x:is>
      </x:c>
      <x:c r="AE8" s="27" t="inlineStr">
        <x:is>
          <x:t xml:space="preserve"/>
        </x:is>
      </x:c>
      <x:c r="AF8" s="27" t="str">
        <x:f>IF($AA8="Dropped","N/A",IF(AND($H8&lt;&gt;"",$J8&lt;&gt;"",$K8&lt;&gt;"",$M8&lt;&gt;"",$N8&lt;&gt;"",$P8&lt;&gt;"",$R8&lt;&gt;"",$U8&lt;&gt;"",$V8&lt;&gt;"",$W8&lt;&gt;"",$Z8&lt;&gt;"",$Y8&lt;&gt;""),"READY","INCOMPLETE"))</x:f>
        <x:v>READY</x:v>
      </x:c>
    </x:row>
    <x:row r="9" ht="85.44921875" hidden="0" customHeight="1">
      <x:c r="A9" s="22" t="inlineStr">
        <x:is>
          <x:t xml:space="preserve">E08</x:t>
        </x:is>
      </x:c>
      <x:c r="B9" s="22" t="inlineStr">
        <x:is>
          <x:t xml:space="preserve">Hyperparameter strategy experiment</x:t>
        </x:is>
      </x:c>
      <x:c r="C9" s="22" t="inlineStr">
        <x:is>
          <x:t xml:space="preserve">Model-comparison</x:t>
        </x:is>
      </x:c>
      <x:c r="D9" s="22" t="inlineStr">
        <x:is>
          <x:t xml:space="preserve">Secondary decision-support</x:t>
        </x:is>
      </x:c>
      <x:c r="E9" s="22" t="inlineStr">
        <x:is>
          <x:t xml:space="preserve">Stage 3 - Model lock</x:t>
        </x:is>
      </x:c>
      <x:c r="F9" s="22" t="inlineStr">
        <x:is>
          <x:t xml:space="preserve">Medium</x:t>
        </x:is>
      </x:c>
      <x:c r="G9" s="22" t="inlineStr">
        <x:is>
          <x:t xml:space="preserve">Tuning policy</x:t>
        </x:is>
      </x:c>
      <x:c r="H9" s="22" t="inlineStr">
        <x:is>
          <x:t xml:space="preserve">Are fixed conservative hyperparameters sufficient, or does light nested tuning materially improve results?</x:t>
        </x:is>
      </x:c>
      <x:c r="I9" s="22" t="inlineStr">
        <x:is>
          <x:t xml:space="preserve">Evaluate under leakage-aware claim-matched split logic before interpretation.</x:t>
        </x:is>
      </x:c>
      <x:c r="J9" s="22" t="inlineStr">
        <x:is>
          <x:t xml:space="preserve">Tuning strategy</x:t>
        </x:is>
      </x:c>
      <x:c r="K9" s="22" t="inlineStr">
        <x:is>
          <x:t xml:space="preserve">Dataset index version, train-only fitting policy, metric definitions, seed policy, artifact schema.</x:t>
        </x:is>
      </x:c>
      <x:c r="L9" s="22" t="inlineStr">
        <x:is>
          <x:t xml:space="preserve">Internal repeated-session BAS2 dataset (sub-001 and sub-002) unless explicitly external.</x:t>
        </x:is>
      </x:c>
      <x:c r="M9" s="22" t="inlineStr">
        <x:is>
          <x:t xml:space="preserve">coarse_affect unless this experiment manipulates target granularity.</x:t>
        </x:is>
      </x:c>
      <x:c r="N9" s="22" t="inlineStr">
        <x:is>
          <x:t xml:space="preserve">Claim-matched leakage-safe split strategy.</x:t>
        </x:is>
      </x:c>
      <x:c r="O9" s="22" t="inlineStr">
        <x:is>
          <x:t xml:space="preserve">Performance inflation if split logic or fit scope leaks train/test information.</x:t>
        </x:is>
      </x:c>
      <x:c r="P9" s="22" t="inlineStr">
        <x:is>
          <x:t xml:space="preserve">Predefined split manifests, train-only fitting, frozen transfer where applicable, no test-driven tuning.</x:t>
        </x:is>
      </x:c>
      <x:c r="Q9" s="22" t="inlineStr">
        <x:is>
          <x:t xml:space="preserve">ridge baseline unless model family is manipulated.</x:t>
        </x:is>
      </x:c>
      <x:c r="R9" s="22" t="inlineStr">
        <x:is>
          <x:t xml:space="preserve">Balanced accuracy</x:t>
        </x:is>
      </x:c>
      <x:c r="S9" s="22" t="inlineStr">
        <x:is>
          <x:t xml:space="preserve">Macro-F1; class-wise recall; accuracy</x:t>
        </x:is>
      </x:c>
      <x:c r="T9" s="22" t="inlineStr">
        <x:is>
          <x:t xml:space="preserve">Fold-level checks and stress controls where relevant.</x:t>
        </x:is>
      </x:c>
      <x:c r="U9" s="22" t="inlineStr">
        <x:is>
          <x:t xml:space="preserve">Keep fixed settings unless nested tuning yields a clear and stable gain.</x:t>
        </x:is>
      </x:c>
      <x:c r="V9" s="22" t="inlineStr">
        <x:is>
          <x:t xml:space="preserve">Stable claim-consistent performance without leakage indicators.</x:t>
        </x:is>
      </x:c>
      <x:c r="W9" s="22" t="inlineStr">
        <x:is>
          <x:t xml:space="preserve">Weak-split inflation, instability, class collapse, or directionally inconsistent evidence.</x:t>
        </x:is>
      </x:c>
      <x:c r="X9" s="22" t="inlineStr">
        <x:is>
          <x:t xml:space="preserve">Class imbalance, sample limits, domain shift, and model/split sensitivity.</x:t>
        </x:is>
      </x:c>
      <x:c r="Y9" s="22" t="inlineStr">
        <x:is>
          <x:t xml:space="preserve">Chapter 3 Method choice</x:t>
        </x:is>
      </x:c>
      <x:c r="Z9" s="22" t="inlineStr">
        <x:is>
          <x:t xml:space="preserve">Interpret only under stated split logic/evidence tier; no causal or localization claims.</x:t>
        </x:is>
      </x:c>
      <x:c r="AA9" s="22" t="inlineStr">
        <x:is>
          <x:t xml:space="preserve">Planned</x:t>
        </x:is>
      </x:c>
      <x:c r="AB9" s="22" t="inlineStr">
        <x:is>
          <x:t xml:space="preserve">Khaled (thesis author)</x:t>
        </x:is>
      </x:c>
      <x:c r="AC9" s="22" t="inlineStr">
        <x:is>
          <x:t xml:space="preserve"/>
        </x:is>
      </x:c>
      <x:c r="AD9" s="22" t="inlineStr">
        <x:is>
          <x:t xml:space="preserve"/>
        </x:is>
      </x:c>
      <x:c r="AE9" s="22" t="inlineStr">
        <x:is>
          <x:t xml:space="preserve"/>
        </x:is>
      </x:c>
      <x:c r="AF9" s="22" t="str">
        <x:f>IF($AA9="Dropped","N/A",IF(AND($H9&lt;&gt;"",$J9&lt;&gt;"",$K9&lt;&gt;"",$M9&lt;&gt;"",$N9&lt;&gt;"",$P9&lt;&gt;"",$R9&lt;&gt;"",$U9&lt;&gt;"",$V9&lt;&gt;"",$W9&lt;&gt;"",$Z9&lt;&gt;"",$Y9&lt;&gt;""),"READY","INCOMPLETE"))</x:f>
        <x:v>READY</x:v>
      </x:c>
    </x:row>
    <x:row r="10" ht="85.44921875" hidden="0" customHeight="1">
      <x:c r="A10" s="27" t="inlineStr">
        <x:is>
          <x:t xml:space="preserve">E09</x:t>
        </x:is>
      </x:c>
      <x:c r="B10" s="27" t="inlineStr">
        <x:is>
          <x:t xml:space="preserve">Whole-brain versus ROI experiment</x:t>
        </x:is>
      </x:c>
      <x:c r="C10" s="27" t="inlineStr">
        <x:is>
          <x:t xml:space="preserve">Preprocessing-feature</x:t>
        </x:is>
      </x:c>
      <x:c r="D10" s="27" t="inlineStr">
        <x:is>
          <x:t xml:space="preserve">Secondary decision-support</x:t>
        </x:is>
      </x:c>
      <x:c r="E10" s="27" t="inlineStr">
        <x:is>
          <x:t xml:space="preserve">Stage 4 - Feature/preprocessing lock</x:t>
        </x:is>
      </x:c>
      <x:c r="F10" s="27" t="inlineStr">
        <x:is>
          <x:t xml:space="preserve">Medium</x:t>
        </x:is>
      </x:c>
      <x:c r="G10" s="27" t="inlineStr">
        <x:is>
          <x:t xml:space="preserve">Feature representation lock</x:t>
        </x:is>
      </x:c>
      <x:c r="H10" s="27" t="inlineStr">
        <x:is>
          <x:t xml:space="preserve">Should the primary representation remain whole-brain masked voxels or use theory-justified ROIs?</x:t>
        </x:is>
      </x:c>
      <x:c r="I10" s="27" t="inlineStr">
        <x:is>
          <x:t xml:space="preserve">Evaluate under leakage-aware claim-matched split logic before interpretation.</x:t>
        </x:is>
      </x:c>
      <x:c r="J10" s="27" t="inlineStr">
        <x:is>
          <x:t xml:space="preserve">Feature space</x:t>
        </x:is>
      </x:c>
      <x:c r="K10" s="27" t="inlineStr">
        <x:is>
          <x:t xml:space="preserve">Dataset index version, train-only fitting policy, metric definitions, seed policy, artifact schema.</x:t>
        </x:is>
      </x:c>
      <x:c r="L10" s="27" t="inlineStr">
        <x:is>
          <x:t xml:space="preserve">Internal repeated-session BAS2 dataset (sub-001 and sub-002) unless explicitly external.</x:t>
        </x:is>
      </x:c>
      <x:c r="M10" s="27" t="inlineStr">
        <x:is>
          <x:t xml:space="preserve">coarse_affect unless this experiment manipulates target granularity.</x:t>
        </x:is>
      </x:c>
      <x:c r="N10" s="27" t="inlineStr">
        <x:is>
          <x:t xml:space="preserve">Claim-matched leakage-safe split strategy.</x:t>
        </x:is>
      </x:c>
      <x:c r="O10" s="27" t="inlineStr">
        <x:is>
          <x:t xml:space="preserve">Performance inflation if split logic or fit scope leaks train/test information.</x:t>
        </x:is>
      </x:c>
      <x:c r="P10" s="27" t="inlineStr">
        <x:is>
          <x:t xml:space="preserve">Predefined split manifests, train-only fitting, frozen transfer where applicable, no test-driven tuning.</x:t>
        </x:is>
      </x:c>
      <x:c r="Q10" s="27" t="inlineStr">
        <x:is>
          <x:t xml:space="preserve">ridge baseline unless model family is manipulated.</x:t>
        </x:is>
      </x:c>
      <x:c r="R10" s="27" t="inlineStr">
        <x:is>
          <x:t xml:space="preserve">Balanced accuracy</x:t>
        </x:is>
      </x:c>
      <x:c r="S10" s="27" t="inlineStr">
        <x:is>
          <x:t xml:space="preserve">Macro-F1; class-wise recall; accuracy</x:t>
        </x:is>
      </x:c>
      <x:c r="T10" s="27" t="inlineStr">
        <x:is>
          <x:t xml:space="preserve">Fold-level checks and stress controls where relevant.</x:t>
        </x:is>
      </x:c>
      <x:c r="U10" s="27" t="inlineStr">
        <x:is>
          <x:t xml:space="preserve">Pre-specified criterion recorded before interpretation.</x:t>
        </x:is>
      </x:c>
      <x:c r="V10" s="27" t="inlineStr">
        <x:is>
          <x:t xml:space="preserve">Stable claim-consistent performance without leakage indicators.</x:t>
        </x:is>
      </x:c>
      <x:c r="W10" s="27" t="inlineStr">
        <x:is>
          <x:t xml:space="preserve">Weak-split inflation, instability, class collapse, or directionally inconsistent evidence.</x:t>
        </x:is>
      </x:c>
      <x:c r="X10" s="27" t="inlineStr">
        <x:is>
          <x:t xml:space="preserve">Class imbalance, sample limits, domain shift, and model/split sensitivity.</x:t>
        </x:is>
      </x:c>
      <x:c r="Y10" s="27" t="inlineStr">
        <x:is>
          <x:t xml:space="preserve">Chapter 3 Method choice</x:t>
        </x:is>
      </x:c>
      <x:c r="Z10" s="27" t="inlineStr">
        <x:is>
          <x:t xml:space="preserve">Interpret only under stated split logic/evidence tier; no causal or localization claims.</x:t>
        </x:is>
      </x:c>
      <x:c r="AA10" s="27" t="inlineStr">
        <x:is>
          <x:t xml:space="preserve">Planned</x:t>
        </x:is>
      </x:c>
      <x:c r="AB10" s="27" t="inlineStr">
        <x:is>
          <x:t xml:space="preserve">Khaled (thesis author)</x:t>
        </x:is>
      </x:c>
      <x:c r="AC10" s="27" t="inlineStr">
        <x:is>
          <x:t xml:space="preserve"/>
        </x:is>
      </x:c>
      <x:c r="AD10" s="27" t="inlineStr">
        <x:is>
          <x:t xml:space="preserve"/>
        </x:is>
      </x:c>
      <x:c r="AE10" s="27" t="inlineStr">
        <x:is>
          <x:t xml:space="preserve"/>
        </x:is>
      </x:c>
      <x:c r="AF10" s="27" t="str">
        <x:f>IF($AA10="Dropped","N/A",IF(AND($H10&lt;&gt;"",$J10&lt;&gt;"",$K10&lt;&gt;"",$M10&lt;&gt;"",$N10&lt;&gt;"",$P10&lt;&gt;"",$R10&lt;&gt;"",$U10&lt;&gt;"",$V10&lt;&gt;"",$W10&lt;&gt;"",$Z10&lt;&gt;"",$Y10&lt;&gt;""),"READY","INCOMPLETE"))</x:f>
        <x:v>READY</x:v>
      </x:c>
    </x:row>
    <x:row r="11" ht="85.44921875" hidden="0" customHeight="1">
      <x:c r="A11" s="22" t="inlineStr">
        <x:is>
          <x:t xml:space="preserve">E10</x:t>
        </x:is>
      </x:c>
      <x:c r="B11" s="22" t="inlineStr">
        <x:is>
          <x:t xml:space="preserve">Dimensionality reduction experiment</x:t>
        </x:is>
      </x:c>
      <x:c r="C11" s="22" t="inlineStr">
        <x:is>
          <x:t xml:space="preserve">Preprocessing-feature</x:t>
        </x:is>
      </x:c>
      <x:c r="D11" s="22" t="inlineStr">
        <x:is>
          <x:t xml:space="preserve">Secondary decision-support</x:t>
        </x:is>
      </x:c>
      <x:c r="E11" s="22" t="inlineStr">
        <x:is>
          <x:t xml:space="preserve">Stage 4 - Feature/preprocessing lock</x:t>
        </x:is>
      </x:c>
      <x:c r="F11" s="22" t="inlineStr">
        <x:is>
          <x:t xml:space="preserve">Medium</x:t>
        </x:is>
      </x:c>
      <x:c r="G11" s="22" t="inlineStr">
        <x:is>
          <x:t xml:space="preserve">Feature reduction policy</x:t>
        </x:is>
      </x:c>
      <x:c r="H11" s="22" t="inlineStr">
        <x:is>
          <x:t xml:space="preserve">Does unsupervised dimensionality reduction improve performance or stability enough to justify added complexity?</x:t>
        </x:is>
      </x:c>
      <x:c r="I11" s="22" t="inlineStr">
        <x:is>
          <x:t xml:space="preserve">Evaluate under leakage-aware claim-matched split logic before interpretation.</x:t>
        </x:is>
      </x:c>
      <x:c r="J11" s="22" t="inlineStr">
        <x:is>
          <x:t xml:space="preserve">Feature reduction strategy</x:t>
        </x:is>
      </x:c>
      <x:c r="K11" s="22" t="inlineStr">
        <x:is>
          <x:t xml:space="preserve">Dataset index version, train-only fitting policy, metric definitions, seed policy, artifact schema.</x:t>
        </x:is>
      </x:c>
      <x:c r="L11" s="22" t="inlineStr">
        <x:is>
          <x:t xml:space="preserve">Internal repeated-session BAS2 dataset (sub-001 and sub-002) unless explicitly external.</x:t>
        </x:is>
      </x:c>
      <x:c r="M11" s="22" t="inlineStr">
        <x:is>
          <x:t xml:space="preserve">coarse_affect unless this experiment manipulates target granularity.</x:t>
        </x:is>
      </x:c>
      <x:c r="N11" s="22" t="inlineStr">
        <x:is>
          <x:t xml:space="preserve">Claim-matched leakage-safe split strategy.</x:t>
        </x:is>
      </x:c>
      <x:c r="O11" s="22" t="inlineStr">
        <x:is>
          <x:t xml:space="preserve">Performance inflation if split logic or fit scope leaks train/test information.</x:t>
        </x:is>
      </x:c>
      <x:c r="P11" s="22" t="inlineStr">
        <x:is>
          <x:t xml:space="preserve">Predefined split manifests, train-only fitting, frozen transfer where applicable, no test-driven tuning.</x:t>
        </x:is>
      </x:c>
      <x:c r="Q11" s="22" t="inlineStr">
        <x:is>
          <x:t xml:space="preserve">ridge baseline unless model family is manipulated.</x:t>
        </x:is>
      </x:c>
      <x:c r="R11" s="22" t="inlineStr">
        <x:is>
          <x:t xml:space="preserve">Balanced accuracy</x:t>
        </x:is>
      </x:c>
      <x:c r="S11" s="22" t="inlineStr">
        <x:is>
          <x:t xml:space="preserve">Macro-F1; class-wise recall; accuracy</x:t>
        </x:is>
      </x:c>
      <x:c r="T11" s="22" t="inlineStr">
        <x:is>
          <x:t xml:space="preserve">Fold-level checks and stress controls where relevant.</x:t>
        </x:is>
      </x:c>
      <x:c r="U11" s="22" t="inlineStr">
        <x:is>
          <x:t xml:space="preserve">Pre-specified criterion recorded before interpretation.</x:t>
        </x:is>
      </x:c>
      <x:c r="V11" s="22" t="inlineStr">
        <x:is>
          <x:t xml:space="preserve">Stable claim-consistent performance without leakage indicators.</x:t>
        </x:is>
      </x:c>
      <x:c r="W11" s="22" t="inlineStr">
        <x:is>
          <x:t xml:space="preserve">Weak-split inflation, instability, class collapse, or directionally inconsistent evidence.</x:t>
        </x:is>
      </x:c>
      <x:c r="X11" s="22" t="inlineStr">
        <x:is>
          <x:t xml:space="preserve">Class imbalance, sample limits, domain shift, and model/split sensitivity.</x:t>
        </x:is>
      </x:c>
      <x:c r="Y11" s="22" t="inlineStr">
        <x:is>
          <x:t xml:space="preserve">Chapter 3 Method choice</x:t>
        </x:is>
      </x:c>
      <x:c r="Z11" s="22" t="inlineStr">
        <x:is>
          <x:t xml:space="preserve">Interpret only under stated split logic/evidence tier; no causal or localization claims.</x:t>
        </x:is>
      </x:c>
      <x:c r="AA11" s="22" t="inlineStr">
        <x:is>
          <x:t xml:space="preserve">Planned</x:t>
        </x:is>
      </x:c>
      <x:c r="AB11" s="22" t="inlineStr">
        <x:is>
          <x:t xml:space="preserve">Khaled (thesis author)</x:t>
        </x:is>
      </x:c>
      <x:c r="AC11" s="22" t="inlineStr">
        <x:is>
          <x:t xml:space="preserve"/>
        </x:is>
      </x:c>
      <x:c r="AD11" s="22" t="inlineStr">
        <x:is>
          <x:t xml:space="preserve"/>
        </x:is>
      </x:c>
      <x:c r="AE11" s="22" t="inlineStr">
        <x:is>
          <x:t xml:space="preserve"/>
        </x:is>
      </x:c>
      <x:c r="AF11" s="22" t="str">
        <x:f>IF($AA11="Dropped","N/A",IF(AND($H11&lt;&gt;"",$J11&lt;&gt;"",$K11&lt;&gt;"",$M11&lt;&gt;"",$N11&lt;&gt;"",$P11&lt;&gt;"",$R11&lt;&gt;"",$U11&lt;&gt;"",$V11&lt;&gt;"",$W11&lt;&gt;"",$Z11&lt;&gt;"",$Y11&lt;&gt;""),"READY","INCOMPLETE"))</x:f>
        <x:v>READY</x:v>
      </x:c>
    </x:row>
    <x:row r="12" ht="85.44921875" hidden="0" customHeight="1">
      <x:c r="A12" s="27" t="inlineStr">
        <x:is>
          <x:t xml:space="preserve">E11</x:t>
        </x:is>
      </x:c>
      <x:c r="B12" s="27" t="inlineStr">
        <x:is>
          <x:t xml:space="preserve">Scaling and normalization experiment</x:t>
        </x:is>
      </x:c>
      <x:c r="C12" s="27" t="inlineStr">
        <x:is>
          <x:t xml:space="preserve">Preprocessing-feature</x:t>
        </x:is>
      </x:c>
      <x:c r="D12" s="27" t="inlineStr">
        <x:is>
          <x:t xml:space="preserve">Secondary decision-support</x:t>
        </x:is>
      </x:c>
      <x:c r="E12" s="27" t="inlineStr">
        <x:is>
          <x:t xml:space="preserve">Stage 4 - Feature/preprocessing lock</x:t>
        </x:is>
      </x:c>
      <x:c r="F12" s="27" t="inlineStr">
        <x:is>
          <x:t xml:space="preserve">Medium</x:t>
        </x:is>
      </x:c>
      <x:c r="G12" s="27" t="inlineStr">
        <x:is>
          <x:t xml:space="preserve">Scaling policy lock</x:t>
        </x:is>
      </x:c>
      <x:c r="H12" s="27" t="inlineStr">
        <x:is>
          <x:t xml:space="preserve">How sensitive are the results to scaling strategy?</x:t>
        </x:is>
      </x:c>
      <x:c r="I12" s="27" t="inlineStr">
        <x:is>
          <x:t xml:space="preserve">Evaluate under leakage-aware claim-matched split logic before interpretation.</x:t>
        </x:is>
      </x:c>
      <x:c r="J12" s="27" t="inlineStr">
        <x:is>
          <x:t xml:space="preserve">Scaling policy</x:t>
        </x:is>
      </x:c>
      <x:c r="K12" s="27" t="inlineStr">
        <x:is>
          <x:t xml:space="preserve">Dataset index version, train-only fitting policy, metric definitions, seed policy, artifact schema.</x:t>
        </x:is>
      </x:c>
      <x:c r="L12" s="27" t="inlineStr">
        <x:is>
          <x:t xml:space="preserve">Internal repeated-session BAS2 dataset (sub-001 and sub-002) unless explicitly external.</x:t>
        </x:is>
      </x:c>
      <x:c r="M12" s="27" t="inlineStr">
        <x:is>
          <x:t xml:space="preserve">coarse_affect unless this experiment manipulates target granularity.</x:t>
        </x:is>
      </x:c>
      <x:c r="N12" s="27" t="inlineStr">
        <x:is>
          <x:t xml:space="preserve">Claim-matched leakage-safe split strategy.</x:t>
        </x:is>
      </x:c>
      <x:c r="O12" s="27" t="inlineStr">
        <x:is>
          <x:t xml:space="preserve">Performance inflation if split logic or fit scope leaks train/test information.</x:t>
        </x:is>
      </x:c>
      <x:c r="P12" s="27" t="inlineStr">
        <x:is>
          <x:t xml:space="preserve">Predefined split manifests, train-only fitting, frozen transfer where applicable, no test-driven tuning.</x:t>
        </x:is>
      </x:c>
      <x:c r="Q12" s="27" t="inlineStr">
        <x:is>
          <x:t xml:space="preserve">ridge baseline unless model family is manipulated.</x:t>
        </x:is>
      </x:c>
      <x:c r="R12" s="27" t="inlineStr">
        <x:is>
          <x:t xml:space="preserve">Balanced accuracy</x:t>
        </x:is>
      </x:c>
      <x:c r="S12" s="27" t="inlineStr">
        <x:is>
          <x:t xml:space="preserve">Macro-F1; class-wise recall; accuracy</x:t>
        </x:is>
      </x:c>
      <x:c r="T12" s="27" t="inlineStr">
        <x:is>
          <x:t xml:space="preserve">Fold-level checks and stress controls where relevant.</x:t>
        </x:is>
      </x:c>
      <x:c r="U12" s="27" t="inlineStr">
        <x:is>
          <x:t xml:space="preserve">Pre-specified criterion recorded before interpretation.</x:t>
        </x:is>
      </x:c>
      <x:c r="V12" s="27" t="inlineStr">
        <x:is>
          <x:t xml:space="preserve">Stable claim-consistent performance without leakage indicators.</x:t>
        </x:is>
      </x:c>
      <x:c r="W12" s="27" t="inlineStr">
        <x:is>
          <x:t xml:space="preserve">Weak-split inflation, instability, class collapse, or directionally inconsistent evidence.</x:t>
        </x:is>
      </x:c>
      <x:c r="X12" s="27" t="inlineStr">
        <x:is>
          <x:t xml:space="preserve">Class imbalance, sample limits, domain shift, and model/split sensitivity.</x:t>
        </x:is>
      </x:c>
      <x:c r="Y12" s="27" t="inlineStr">
        <x:is>
          <x:t xml:space="preserve">Chapter 3 Method choice</x:t>
        </x:is>
      </x:c>
      <x:c r="Z12" s="27" t="inlineStr">
        <x:is>
          <x:t xml:space="preserve">Interpret only under stated split logic/evidence tier; no causal or localization claims.</x:t>
        </x:is>
      </x:c>
      <x:c r="AA12" s="27" t="inlineStr">
        <x:is>
          <x:t xml:space="preserve">Planned</x:t>
        </x:is>
      </x:c>
      <x:c r="AB12" s="27" t="inlineStr">
        <x:is>
          <x:t xml:space="preserve">Khaled (thesis author)</x:t>
        </x:is>
      </x:c>
      <x:c r="AC12" s="27" t="inlineStr">
        <x:is>
          <x:t xml:space="preserve"/>
        </x:is>
      </x:c>
      <x:c r="AD12" s="27" t="inlineStr">
        <x:is>
          <x:t xml:space="preserve"/>
        </x:is>
      </x:c>
      <x:c r="AE12" s="27" t="inlineStr">
        <x:is>
          <x:t xml:space="preserve"/>
        </x:is>
      </x:c>
      <x:c r="AF12" s="27" t="str">
        <x:f>IF($AA12="Dropped","N/A",IF(AND($H12&lt;&gt;"",$J12&lt;&gt;"",$K12&lt;&gt;"",$M12&lt;&gt;"",$N12&lt;&gt;"",$P12&lt;&gt;"",$R12&lt;&gt;"",$U12&lt;&gt;"",$V12&lt;&gt;"",$W12&lt;&gt;"",$Z12&lt;&gt;"",$Y12&lt;&gt;""),"READY","INCOMPLETE"))</x:f>
        <x:v>READY</x:v>
      </x:c>
    </x:row>
    <x:row r="13" ht="85.44921875" hidden="0" customHeight="1">
      <x:c r="A13" s="22" t="inlineStr">
        <x:is>
          <x:t xml:space="preserve">E12</x:t>
        </x:is>
      </x:c>
      <x:c r="B13" s="22" t="inlineStr">
        <x:is>
          <x:t xml:space="preserve">Permutation test experiment</x:t>
        </x:is>
      </x:c>
      <x:c r="C13" s="22" t="inlineStr">
        <x:is>
          <x:t xml:space="preserve">Robustness</x:t>
        </x:is>
      </x:c>
      <x:c r="D13" s="22" t="inlineStr">
        <x:is>
          <x:t xml:space="preserve">Primary-supporting robustness</x:t>
        </x:is>
      </x:c>
      <x:c r="E13" s="22" t="inlineStr">
        <x:is>
          <x:t xml:space="preserve">Stage 6 - Robustness analysis</x:t>
        </x:is>
      </x:c>
      <x:c r="F13" s="22" t="inlineStr">
        <x:is>
          <x:t xml:space="preserve">High</x:t>
        </x:is>
      </x:c>
      <x:c r="G13" s="22" t="inlineStr">
        <x:is>
          <x:t xml:space="preserve">Chance-level distinguishability support</x:t>
        </x:is>
      </x:c>
      <x:c r="H13" s="22" t="inlineStr">
        <x:is>
          <x:t xml:space="preserve">Are the main predictive results distinguishable from chance under the exact same split logic?</x:t>
        </x:is>
      </x:c>
      <x:c r="I13" s="22" t="inlineStr">
        <x:is>
          <x:t xml:space="preserve">Evaluate under leakage-aware claim-matched split logic before interpretation.</x:t>
        </x:is>
      </x:c>
      <x:c r="J13" s="22" t="inlineStr">
        <x:is>
          <x:t xml:space="preserve">Label structure (true vs permuted)</x:t>
        </x:is>
      </x:c>
      <x:c r="K13" s="22" t="inlineStr">
        <x:is>
          <x:t xml:space="preserve">Dataset index version, train-only fitting policy, metric definitions, seed policy, artifact schema.</x:t>
        </x:is>
      </x:c>
      <x:c r="L13" s="22" t="inlineStr">
        <x:is>
          <x:t xml:space="preserve">Internal repeated-session BAS2 dataset (sub-001 and sub-002) unless explicitly external.</x:t>
        </x:is>
      </x:c>
      <x:c r="M13" s="22" t="inlineStr">
        <x:is>
          <x:t xml:space="preserve">coarse_affect unless this experiment manipulates target granularity.</x:t>
        </x:is>
      </x:c>
      <x:c r="N13" s="22" t="inlineStr">
        <x:is>
          <x:t xml:space="preserve">exact confirmatory split logic with train-only permutation</x:t>
        </x:is>
      </x:c>
      <x:c r="O13" s="22" t="inlineStr">
        <x:is>
          <x:t xml:space="preserve">Performance inflation if split logic or fit scope leaks train/test information.</x:t>
        </x:is>
      </x:c>
      <x:c r="P13" s="22" t="inlineStr">
        <x:is>
          <x:t xml:space="preserve">Predefined split manifests, train-only fitting, frozen transfer where applicable, no test-driven tuning.</x:t>
        </x:is>
      </x:c>
      <x:c r="Q13" s="22" t="inlineStr">
        <x:is>
          <x:t xml:space="preserve">ridge baseline unless model family is manipulated.</x:t>
        </x:is>
      </x:c>
      <x:c r="R13" s="22" t="inlineStr">
        <x:is>
          <x:t xml:space="preserve">Balanced accuracy</x:t>
        </x:is>
      </x:c>
      <x:c r="S13" s="22" t="inlineStr">
        <x:is>
          <x:t xml:space="preserve">Empirical p-value; null distribution summary</x:t>
        </x:is>
      </x:c>
      <x:c r="T13" s="22" t="inlineStr">
        <x:is>
          <x:t xml:space="preserve">Fold-level checks and stress controls where relevant.</x:t>
        </x:is>
      </x:c>
      <x:c r="U13" s="22" t="inlineStr">
        <x:is>
          <x:t xml:space="preserve">Pre-specified criterion recorded before interpretation.</x:t>
        </x:is>
      </x:c>
      <x:c r="V13" s="22" t="inlineStr">
        <x:is>
          <x:t xml:space="preserve">Stable claim-consistent performance without leakage indicators.</x:t>
        </x:is>
      </x:c>
      <x:c r="W13" s="22" t="inlineStr">
        <x:is>
          <x:t xml:space="preserve">Weak-split inflation, instability, class collapse, or directionally inconsistent evidence.</x:t>
        </x:is>
      </x:c>
      <x:c r="X13" s="22" t="inlineStr">
        <x:is>
          <x:t xml:space="preserve">Class imbalance, sample limits, domain shift, and model/split sensitivity.</x:t>
        </x:is>
      </x:c>
      <x:c r="Y13" s="22" t="inlineStr">
        <x:is>
          <x:t xml:space="preserve">Chapter 4 Supporting robustness</x:t>
        </x:is>
      </x:c>
      <x:c r="Z13" s="22" t="inlineStr">
        <x:is>
          <x:t xml:space="preserve">Interpret only under stated split logic/evidence tier; no causal or localization claims.</x:t>
        </x:is>
      </x:c>
      <x:c r="AA13" s="22" t="inlineStr">
        <x:is>
          <x:t xml:space="preserve">Planned</x:t>
        </x:is>
      </x:c>
      <x:c r="AB13" s="22" t="inlineStr">
        <x:is>
          <x:t xml:space="preserve">Khaled (thesis author)</x:t>
        </x:is>
      </x:c>
      <x:c r="AC13" s="22" t="inlineStr">
        <x:is>
          <x:t xml:space="preserve"/>
        </x:is>
      </x:c>
      <x:c r="AD13" s="22" t="inlineStr">
        <x:is>
          <x:t xml:space="preserve"/>
        </x:is>
      </x:c>
      <x:c r="AE13" s="22" t="inlineStr">
        <x:is>
          <x:t xml:space="preserve"/>
        </x:is>
      </x:c>
      <x:c r="AF13" s="22" t="str">
        <x:f>IF($AA13="Dropped","N/A",IF(AND($H13&lt;&gt;"",$J13&lt;&gt;"",$K13&lt;&gt;"",$M13&lt;&gt;"",$N13&lt;&gt;"",$P13&lt;&gt;"",$R13&lt;&gt;"",$U13&lt;&gt;"",$V13&lt;&gt;"",$W13&lt;&gt;"",$Z13&lt;&gt;"",$Y13&lt;&gt;""),"READY","INCOMPLETE"))</x:f>
        <x:v>READY</x:v>
      </x:c>
    </x:row>
    <x:row r="14" ht="85.44921875" hidden="0" customHeight="1">
      <x:c r="A14" s="27" t="inlineStr">
        <x:is>
          <x:t xml:space="preserve">E13</x:t>
        </x:is>
      </x:c>
      <x:c r="B14" s="27" t="inlineStr">
        <x:is>
          <x:t xml:space="preserve">Trivial baseline experiment</x:t>
        </x:is>
      </x:c>
      <x:c r="C14" s="27" t="inlineStr">
        <x:is>
          <x:t xml:space="preserve">Robustness</x:t>
        </x:is>
      </x:c>
      <x:c r="D14" s="27" t="inlineStr">
        <x:is>
          <x:t xml:space="preserve">Primary-supporting robustness</x:t>
        </x:is>
      </x:c>
      <x:c r="E14" s="27" t="inlineStr">
        <x:is>
          <x:t xml:space="preserve">Stage 6 - Robustness analysis</x:t>
        </x:is>
      </x:c>
      <x:c r="F14" s="27" t="inlineStr">
        <x:is>
          <x:t xml:space="preserve">High</x:t>
        </x:is>
      </x:c>
      <x:c r="G14" s="27" t="inlineStr">
        <x:is>
          <x:t xml:space="preserve">Non-trivial predictive value support</x:t>
        </x:is>
      </x:c>
      <x:c r="H14" s="27" t="inlineStr">
        <x:is>
          <x:t xml:space="preserve">Does the final model clearly outperform trivial baselines?</x:t>
        </x:is>
      </x:c>
      <x:c r="I14" s="27" t="inlineStr">
        <x:is>
          <x:t xml:space="preserve">Evaluate under leakage-aware claim-matched split logic before interpretation.</x:t>
        </x:is>
      </x:c>
      <x:c r="J14" s="27" t="inlineStr">
        <x:is>
          <x:t xml:space="preserve">Baseline type</x:t>
        </x:is>
      </x:c>
      <x:c r="K14" s="27" t="inlineStr">
        <x:is>
          <x:t xml:space="preserve">Dataset index version, train-only fitting policy, metric definitions, seed policy, artifact schema.</x:t>
        </x:is>
      </x:c>
      <x:c r="L14" s="27" t="inlineStr">
        <x:is>
          <x:t xml:space="preserve">Internal repeated-session BAS2 dataset (sub-001 and sub-002) unless explicitly external.</x:t>
        </x:is>
      </x:c>
      <x:c r="M14" s="27" t="inlineStr">
        <x:is>
          <x:t xml:space="preserve">coarse_affect unless this experiment manipulates target granularity.</x:t>
        </x:is>
      </x:c>
      <x:c r="N14" s="27" t="inlineStr">
        <x:is>
          <x:t xml:space="preserve">Claim-matched leakage-safe split strategy.</x:t>
        </x:is>
      </x:c>
      <x:c r="O14" s="27" t="inlineStr">
        <x:is>
          <x:t xml:space="preserve">Performance inflation if split logic or fit scope leaks train/test information.</x:t>
        </x:is>
      </x:c>
      <x:c r="P14" s="27" t="inlineStr">
        <x:is>
          <x:t xml:space="preserve">Predefined split manifests, train-only fitting, frozen transfer where applicable, no test-driven tuning.</x:t>
        </x:is>
      </x:c>
      <x:c r="Q14" s="27" t="inlineStr">
        <x:is>
          <x:t xml:space="preserve">Final locked model vs trivial baselines</x:t>
        </x:is>
      </x:c>
      <x:c r="R14" s="27" t="inlineStr">
        <x:is>
          <x:t xml:space="preserve">Balanced accuracy</x:t>
        </x:is>
      </x:c>
      <x:c r="S14" s="27" t="inlineStr">
        <x:is>
          <x:t xml:space="preserve">Macro-F1; class-wise recall; accuracy</x:t>
        </x:is>
      </x:c>
      <x:c r="T14" s="27" t="inlineStr">
        <x:is>
          <x:t xml:space="preserve">Fold-level checks and stress controls where relevant.</x:t>
        </x:is>
      </x:c>
      <x:c r="U14" s="27" t="inlineStr">
        <x:is>
          <x:t xml:space="preserve">Pre-specified criterion recorded before interpretation.</x:t>
        </x:is>
      </x:c>
      <x:c r="V14" s="27" t="inlineStr">
        <x:is>
          <x:t xml:space="preserve">Stable claim-consistent performance without leakage indicators.</x:t>
        </x:is>
      </x:c>
      <x:c r="W14" s="27" t="inlineStr">
        <x:is>
          <x:t xml:space="preserve">Weak-split inflation, instability, class collapse, or directionally inconsistent evidence.</x:t>
        </x:is>
      </x:c>
      <x:c r="X14" s="27" t="inlineStr">
        <x:is>
          <x:t xml:space="preserve">Class imbalance, sample limits, domain shift, and model/split sensitivity.</x:t>
        </x:is>
      </x:c>
      <x:c r="Y14" s="27" t="inlineStr">
        <x:is>
          <x:t xml:space="preserve">Chapter 4 Supporting robustness</x:t>
        </x:is>
      </x:c>
      <x:c r="Z14" s="27" t="inlineStr">
        <x:is>
          <x:t xml:space="preserve">Interpret only under stated split logic/evidence tier; no causal or localization claims.</x:t>
        </x:is>
      </x:c>
      <x:c r="AA14" s="27" t="inlineStr">
        <x:is>
          <x:t xml:space="preserve">Planned</x:t>
        </x:is>
      </x:c>
      <x:c r="AB14" s="27" t="inlineStr">
        <x:is>
          <x:t xml:space="preserve">Khaled (thesis author)</x:t>
        </x:is>
      </x:c>
      <x:c r="AC14" s="27" t="inlineStr">
        <x:is>
          <x:t xml:space="preserve"/>
        </x:is>
      </x:c>
      <x:c r="AD14" s="27" t="inlineStr">
        <x:is>
          <x:t xml:space="preserve"/>
        </x:is>
      </x:c>
      <x:c r="AE14" s="27" t="inlineStr">
        <x:is>
          <x:t xml:space="preserve"/>
        </x:is>
      </x:c>
      <x:c r="AF14" s="27" t="str">
        <x:f>IF($AA14="Dropped","N/A",IF(AND($H14&lt;&gt;"",$J14&lt;&gt;"",$K14&lt;&gt;"",$M14&lt;&gt;"",$N14&lt;&gt;"",$P14&lt;&gt;"",$R14&lt;&gt;"",$U14&lt;&gt;"",$V14&lt;&gt;"",$W14&lt;&gt;"",$Z14&lt;&gt;"",$Y14&lt;&gt;""),"READY","INCOMPLETE"))</x:f>
        <x:v>READY</x:v>
      </x:c>
    </x:row>
    <x:row r="15" ht="102.5390625" hidden="0" customHeight="1">
      <x:c r="A15" s="22" t="str">
        <x:v>E14</x:v>
      </x:c>
      <x:c r="B15" s="22" t="str">
        <x:v>Quantified explanation stability</x:v>
      </x:c>
      <x:c r="C15" s="22" t="str">
        <x:v>Robustness</x:v>
      </x:c>
      <x:c r="D15" s="22" t="str">
        <x:v>Primary-supporting robustness</x:v>
      </x:c>
      <x:c r="E15" s="22" t="str">
        <x:v>Stage 6 - Robustness analysis</x:v>
      </x:c>
      <x:c r="F15" s="22" t="str">
        <x:v>High</x:v>
      </x:c>
      <x:c r="G15" s="22" t="str">
        <x:v>Interpretability stability support</x:v>
      </x:c>
      <x:c r="H15" s="22" t="str">
        <x:v>Are linear coefficient or importance patterns stable across held-out-session folds and reruns of the same locked pipeline?</x:v>
      </x:c>
      <x:c r="I15" s="22" t="str">
        <x:v>Explanation patterns should show at least directional consistency if they are to support interpretation.</x:v>
      </x:c>
      <x:c r="J15" s="22" t="str">
        <x:v>Explanation stability metric</x:v>
      </x:c>
      <x:c r="K15" s="22" t="str">
        <x:v>Dataset index version, train-only fitting policy, metric definitions, seed policy, artifact schema.</x:v>
      </x:c>
      <x:c r="L15" s="22" t="str">
        <x:v>Internal repeated-session BAS2 dataset (sub-001 and sub-002) unless explicitly external.</x:v>
      </x:c>
      <x:c r="M15" s="22" t="str">
        <x:v>coarse_affect unless this experiment manipulates target granularity.</x:v>
      </x:c>
      <x:c r="N15" s="22" t="str">
        <x:v>Claim-matched leakage-safe split strategy with fold-wise explanation extraction.</x:v>
      </x:c>
      <x:c r="O15" s="22" t="str">
        <x:v>Performance inflation if split logic or fit scope leaks train/test information.</x:v>
      </x:c>
      <x:c r="P15" s="22" t="str">
        <x:v>Predefined split manifests, train-only fitting, frozen transfer where applicable, no test-driven tuning.</x:v>
      </x:c>
      <x:c r="Q15" s="22" t="str">
        <x:v>ridge baseline unless model family is manipulated.</x:v>
      </x:c>
      <x:c r="R15" s="22" t="str">
        <x:v>Mean pairwise coefficient correlation</x:v>
      </x:c>
      <x:c r="S15" s="22" t="str">
        <x:v>Sign consistency; top-k overlap; spatial agreement</x:v>
      </x:c>
      <x:c r="T15" s="22" t="str">
        <x:v>Fold-wise and rerun stability summaries linked to the same confirmatory base run.</x:v>
      </x:c>
      <x:c r="U15" s="22" t="str">
        <x:v>Use interpretation support only if explanation patterns are not dominated by fold-specific instability.</x:v>
      </x:c>
      <x:c r="V15" s="22" t="str">
        <x:v>Stable fold-level explanation patterns without contradiction across the main held-out-session analyses.</x:v>
      </x:c>
      <x:c r="W15" s="22" t="str">
        <x:v>Highly unstable maps, sign flips, or dependence on a tiny subset of folds.</x:v>
      </x:c>
      <x:c r="X15" s="22" t="str">
        <x:v>Model instability, small-sample variability, and over-interpretation of feature weights.</x:v>
      </x:c>
      <x:c r="Y15" s="22" t="str">
        <x:v>Chapter 4 Supporting robustness</x:v>
      </x:c>
      <x:c r="Z15" s="22" t="str">
        <x:v>Model-behavior evidence only; not direct neural localization.</x:v>
      </x:c>
      <x:c r="AA15" s="22" t="str">
        <x:v>Planned</x:v>
      </x:c>
      <x:c r="AB15" s="22" t="str">
        <x:v>Khaled (thesis author)</x:v>
      </x:c>
      <x:c r="AC15" s="22"/>
      <x:c r="AD15" s="22"/>
      <x:c r="AE15" s="22" t="str">
        <x:v>Replaces vague explanation language with explicit stability metrics.</x:v>
      </x:c>
      <x:c r="AF15" s="22"/>
    </x:row>
    <x:row r="16" ht="119.62890625" hidden="0" customHeight="1">
      <x:c r="A16" s="27" t="str">
        <x:v>E15</x:v>
      </x:c>
      <x:c r="B16" s="27" t="str">
        <x:v>Subset sensitivity framing</x:v>
      </x:c>
      <x:c r="C16" s="27" t="str">
        <x:v>Robustness</x:v>
      </x:c>
      <x:c r="D16" s="27" t="str">
        <x:v>Secondary decision-support / robustness</x:v>
      </x:c>
      <x:c r="E16" s="27" t="str">
        <x:v>Stage 6 - Robustness analysis</x:v>
      </x:c>
      <x:c r="F16" s="27" t="str">
        <x:v>Medium</x:v>
      </x:c>
      <x:c r="G16" s="27" t="str">
        <x:v>Sensitivity framing</x:v>
      </x:c>
      <x:c r="H16" s="27" t="str">
        <x:v>Do the main conclusions depend excessively on one subset, such as one task, one modality, or one session cluster?</x:v>
      </x:c>
      <x:c r="I16" s="27" t="str">
        <x:v>The main conclusion should not collapse when a single plausible subset is excluded.</x:v>
      </x:c>
      <x:c r="J16" s="27" t="str">
        <x:v>Subset inclusion / exclusion policy</x:v>
      </x:c>
      <x:c r="K16" s="27" t="str">
        <x:v>Dataset index version, train-only fitting policy, metric definitions, seed policy, artifact schema.</x:v>
      </x:c>
      <x:c r="L16" s="27" t="str">
        <x:v>Internal repeated-session BAS2 dataset (sub-001 and sub-002) unless explicitly external.</x:v>
      </x:c>
      <x:c r="M16" s="27" t="str">
        <x:v>coarse_affect unless this experiment manipulates target granularity.</x:v>
      </x:c>
      <x:c r="N16" s="27" t="str">
        <x:v>Claim-matched leakage-safe split strategy plus pre-registered subset exclusions.</x:v>
      </x:c>
      <x:c r="O16" s="27" t="str">
        <x:v>Performance inflation if split logic or fit scope leaks train/test information.</x:v>
      </x:c>
      <x:c r="P16" s="27" t="str">
        <x:v>Predefined split manifests, train-only fitting, frozen transfer where applicable, no test-driven tuning.</x:v>
      </x:c>
      <x:c r="Q16" s="27" t="str">
        <x:v>ridge baseline unless model family is manipulated.</x:v>
      </x:c>
      <x:c r="R16" s="27" t="str">
        <x:v>Balanced accuracy</x:v>
      </x:c>
      <x:c r="S16" s="27" t="str">
        <x:v>Macro-F1; class-wise recall; accuracy</x:v>
      </x:c>
      <x:c r="T16" s="27" t="str">
        <x:v>Subset-specific reruns and omission diagnostics where relevant.</x:v>
      </x:c>
      <x:c r="U16" s="27" t="str">
        <x:v>Use as a framing experiment to decide whether stronger dedicated sensitivity checks are needed.</x:v>
      </x:c>
      <x:c r="V16" s="27" t="str">
        <x:v>Directionally similar conclusions across pre-registered subset variants.</x:v>
      </x:c>
      <x:c r="W16" s="27" t="str">
        <x:v>Large dependence on one subset or a reversal of the main conclusion.</x:v>
      </x:c>
      <x:c r="X16" s="27" t="str">
        <x:v>Class imbalance, sample limits, domain shift, and model/split sensitivity.</x:v>
      </x:c>
      <x:c r="Y16" s="27" t="str">
        <x:v>Chapter 5 Discussion</x:v>
      </x:c>
      <x:c r="Z16" s="27" t="str">
        <x:v>Interpret only under stated split logic/evidence tier; no causal or localization claims.</x:v>
      </x:c>
      <x:c r="AA16" s="27" t="str">
        <x:v>Planned</x:v>
      </x:c>
      <x:c r="AB16" s="27" t="str">
        <x:v>Khaled (thesis author)</x:v>
      </x:c>
      <x:c r="AC16" s="27"/>
      <x:c r="AD16" s="27"/>
      <x:c r="AE16" s="27" t="str">
        <x:v>Parent sensitivity entry complemented by E21-E23 for more specific robustness checks.</x:v>
      </x:c>
      <x:c r="AF16" s="27"/>
    </x:row>
    <x:row r="17" ht="85.44921875" hidden="0" customHeight="1">
      <x:c r="A17" s="22" t="inlineStr">
        <x:is>
          <x:t xml:space="preserve">E16</x:t>
        </x:is>
      </x:c>
      <x:c r="B17" s="22" t="inlineStr">
        <x:is>
          <x:t xml:space="preserve">Final within-person confirmatory analysis</x:t>
        </x:is>
      </x:c>
      <x:c r="C17" s="22" t="inlineStr">
        <x:is>
          <x:t xml:space="preserve">Confirmatory core</x:t>
        </x:is>
      </x:c>
      <x:c r="D17" s="22" t="inlineStr">
        <x:is>
          <x:t xml:space="preserve">Primary confirmatory</x:t>
        </x:is>
      </x:c>
      <x:c r="E17" s="22" t="inlineStr">
        <x:is>
          <x:t xml:space="preserve">Stage 5 - Confirmatory analysis</x:t>
        </x:is>
      </x:c>
      <x:c r="F17" s="22" t="inlineStr">
        <x:is>
          <x:t xml:space="preserve">Critical</x:t>
        </x:is>
      </x:c>
      <x:c r="G17" s="22" t="inlineStr">
        <x:is>
          <x:t xml:space="preserve">Primary confirmatory claim</x:t>
        </x:is>
      </x:c>
      <x:c r="H17" s="22" t="inlineStr">
        <x:is>
          <x:t xml:space="preserve">Does the final locked pipeline show meaningful within-person held-out-session generalization?</x:t>
        </x:is>
      </x:c>
      <x:c r="I17" s="22" t="inlineStr">
        <x:is>
          <x:t xml:space="preserve">Evaluate under leakage-aware claim-matched split logic before interpretation.</x:t>
        </x:is>
      </x:c>
      <x:c r="J17" s="22" t="inlineStr">
        <x:is>
          <x:t xml:space="preserve">None; final frozen pipeline</x:t>
        </x:is>
      </x:c>
      <x:c r="K17" s="22" t="inlineStr">
        <x:is>
          <x:t xml:space="preserve">Dataset index version, train-only fitting policy, metric definitions, seed policy, artifact schema.</x:t>
        </x:is>
      </x:c>
      <x:c r="L17" s="22" t="inlineStr">
        <x:is>
          <x:t xml:space="preserve">Internal repeated-session BAS2 dataset (sub-001 and sub-002) unless explicitly external.</x:t>
        </x:is>
      </x:c>
      <x:c r="M17" s="22" t="inlineStr">
        <x:is>
          <x:t xml:space="preserve">Locked target after Stage 1 target lock</x:t>
        </x:is>
      </x:c>
      <x:c r="N17" s="22" t="inlineStr">
        <x:is>
          <x:t xml:space="preserve">within_subject_loso_session</x:t>
        </x:is>
      </x:c>
      <x:c r="O17" s="22" t="inlineStr">
        <x:is>
          <x:t xml:space="preserve">Performance inflation if split logic or fit scope leaks train/test information.</x:t>
        </x:is>
      </x:c>
      <x:c r="P17" s="22" t="inlineStr">
        <x:is>
          <x:t xml:space="preserve">Predefined split manifests, train-only fitting, frozen transfer where applicable, no test-driven tuning.</x:t>
        </x:is>
      </x:c>
      <x:c r="Q17" s="22" t="inlineStr">
        <x:is>
          <x:t xml:space="preserve">Final locked model</x:t>
        </x:is>
      </x:c>
      <x:c r="R17" s="22" t="inlineStr">
        <x:is>
          <x:t xml:space="preserve">Balanced accuracy</x:t>
        </x:is>
      </x:c>
      <x:c r="S17" s="22" t="inlineStr">
        <x:is>
          <x:t xml:space="preserve">Macro-F1; class-wise recall; accuracy</x:t>
        </x:is>
      </x:c>
      <x:c r="T17" s="22" t="inlineStr">
        <x:is>
          <x:t xml:space="preserve">Fold-level checks and stress controls where relevant.</x:t>
        </x:is>
      </x:c>
      <x:c r="U17" s="22" t="inlineStr">
        <x:is>
          <x:t xml:space="preserve">Primary evidential core of thesis.</x:t>
        </x:is>
      </x:c>
      <x:c r="V17" s="22" t="inlineStr">
        <x:is>
          <x:t xml:space="preserve">Stable claim-consistent performance without leakage indicators.</x:t>
        </x:is>
      </x:c>
      <x:c r="W17" s="22" t="inlineStr">
        <x:is>
          <x:t xml:space="preserve">Weak-split inflation, instability, class collapse, or directionally inconsistent evidence.</x:t>
        </x:is>
      </x:c>
      <x:c r="X17" s="22" t="inlineStr">
        <x:is>
          <x:t xml:space="preserve">Class imbalance, sample limits, domain shift, and model/split sensitivity.</x:t>
        </x:is>
      </x:c>
      <x:c r="Y17" s="22" t="inlineStr">
        <x:is>
          <x:t xml:space="preserve">Chapter 4 Main results</x:t>
        </x:is>
      </x:c>
      <x:c r="Z17" s="22" t="inlineStr">
        <x:is>
          <x:t xml:space="preserve">Interpret only under stated split logic/evidence tier; no causal or localization claims.</x:t>
        </x:is>
      </x:c>
      <x:c r="AA17" s="22" t="inlineStr">
        <x:is>
          <x:t xml:space="preserve">Planned</x:t>
        </x:is>
      </x:c>
      <x:c r="AB17" s="22" t="inlineStr">
        <x:is>
          <x:t xml:space="preserve">Khaled (thesis author)</x:t>
        </x:is>
      </x:c>
      <x:c r="AC17" s="22" t="inlineStr">
        <x:is>
          <x:t xml:space="preserve"/>
        </x:is>
      </x:c>
      <x:c r="AD17" s="22" t="inlineStr">
        <x:is>
          <x:t xml:space="preserve"/>
        </x:is>
      </x:c>
      <x:c r="AE17" s="22" t="inlineStr">
        <x:is>
          <x:t xml:space="preserve"/>
        </x:is>
      </x:c>
      <x:c r="AF17" s="22" t="str">
        <x:f>IF($AA17="Dropped","N/A",IF(AND($H17&lt;&gt;"",$J17&lt;&gt;"",$K17&lt;&gt;"",$M17&lt;&gt;"",$N17&lt;&gt;"",$P17&lt;&gt;"",$R17&lt;&gt;"",$U17&lt;&gt;"",$V17&lt;&gt;"",$W17&lt;&gt;"",$Z17&lt;&gt;"",$Y17&lt;&gt;""),"READY","INCOMPLETE"))</x:f>
        <x:v>READY</x:v>
      </x:c>
    </x:row>
    <x:row r="18" ht="85.44921875" hidden="0" customHeight="1">
      <x:c r="A18" s="27" t="inlineStr">
        <x:is>
          <x:t xml:space="preserve">E17</x:t>
        </x:is>
      </x:c>
      <x:c r="B18" s="27" t="inlineStr">
        <x:is>
          <x:t xml:space="preserve">Final cross-person transfer analysis</x:t>
        </x:is>
      </x:c>
      <x:c r="C18" s="27" t="inlineStr">
        <x:is>
          <x:t xml:space="preserve">Confirmatory core</x:t>
        </x:is>
      </x:c>
      <x:c r="D18" s="27" t="inlineStr">
        <x:is>
          <x:t xml:space="preserve">Primary confirmatory</x:t>
        </x:is>
      </x:c>
      <x:c r="E18" s="27" t="inlineStr">
        <x:is>
          <x:t xml:space="preserve">Stage 5 - Confirmatory analysis</x:t>
        </x:is>
      </x:c>
      <x:c r="F18" s="27" t="inlineStr">
        <x:is>
          <x:t xml:space="preserve">Critical</x:t>
        </x:is>
      </x:c>
      <x:c r="G18" s="27" t="inlineStr">
        <x:is>
          <x:t xml:space="preserve">Secondary confirmatory transfer claim</x:t>
        </x:is>
      </x:c>
      <x:c r="H18" s="27" t="inlineStr">
        <x:is>
          <x:t xml:space="preserve">Does the final locked pipeline transfer meaningfully across individuals under frozen directional transfer?</x:t>
        </x:is>
      </x:c>
      <x:c r="I18" s="27" t="inlineStr">
        <x:is>
          <x:t xml:space="preserve">Evaluate under leakage-aware claim-matched split logic before interpretation.</x:t>
        </x:is>
      </x:c>
      <x:c r="J18" s="27" t="inlineStr">
        <x:is>
          <x:t xml:space="preserve">None; final frozen pipeline</x:t>
        </x:is>
      </x:c>
      <x:c r="K18" s="27" t="inlineStr">
        <x:is>
          <x:t xml:space="preserve">Dataset index version, train-only fitting policy, metric definitions, seed policy, artifact schema.</x:t>
        </x:is>
      </x:c>
      <x:c r="L18" s="27" t="inlineStr">
        <x:is>
          <x:t xml:space="preserve">Internal repeated-session BAS2 dataset (sub-001 and sub-002) unless explicitly external.</x:t>
        </x:is>
      </x:c>
      <x:c r="M18" s="27" t="inlineStr">
        <x:is>
          <x:t xml:space="preserve">Locked target after Stage 1 target lock</x:t>
        </x:is>
      </x:c>
      <x:c r="N18" s="27" t="inlineStr">
        <x:is>
          <x:t xml:space="preserve">frozen_cross_person_transfer both directions</x:t>
        </x:is>
      </x:c>
      <x:c r="O18" s="27" t="inlineStr">
        <x:is>
          <x:t xml:space="preserve">Performance inflation if split logic or fit scope leaks train/test information.</x:t>
        </x:is>
      </x:c>
      <x:c r="P18" s="27" t="inlineStr">
        <x:is>
          <x:t xml:space="preserve">Predefined split manifests, train-only fitting, frozen transfer where applicable, no test-driven tuning.</x:t>
        </x:is>
      </x:c>
      <x:c r="Q18" s="27" t="inlineStr">
        <x:is>
          <x:t xml:space="preserve">Final locked model</x:t>
        </x:is>
      </x:c>
      <x:c r="R18" s="27" t="inlineStr">
        <x:is>
          <x:t xml:space="preserve">Balanced accuracy</x:t>
        </x:is>
      </x:c>
      <x:c r="S18" s="27" t="inlineStr">
        <x:is>
          <x:t xml:space="preserve">Macro-F1; class-wise recall; accuracy</x:t>
        </x:is>
      </x:c>
      <x:c r="T18" s="27" t="inlineStr">
        <x:is>
          <x:t xml:space="preserve">Fold-level checks and stress controls where relevant.</x:t>
        </x:is>
      </x:c>
      <x:c r="U18" s="27" t="inlineStr">
        <x:is>
          <x:t xml:space="preserve">Interpret as cross-case transfer evidence under domain shift.</x:t>
        </x:is>
      </x:c>
      <x:c r="V18" s="27" t="inlineStr">
        <x:is>
          <x:t xml:space="preserve">Stable claim-consistent performance without leakage indicators.</x:t>
        </x:is>
      </x:c>
      <x:c r="W18" s="27" t="inlineStr">
        <x:is>
          <x:t xml:space="preserve">Weak-split inflation, instability, class collapse, or directionally inconsistent evidence.</x:t>
        </x:is>
      </x:c>
      <x:c r="X18" s="27" t="inlineStr">
        <x:is>
          <x:t xml:space="preserve">Class imbalance, sample limits, domain shift, and model/split sensitivity.</x:t>
        </x:is>
      </x:c>
      <x:c r="Y18" s="27" t="inlineStr">
        <x:is>
          <x:t xml:space="preserve">Chapter 4 Main results</x:t>
        </x:is>
      </x:c>
      <x:c r="Z18" s="27" t="inlineStr">
        <x:is>
          <x:t xml:space="preserve">Directional transfer evidence only; not population-level generalization.</x:t>
        </x:is>
      </x:c>
      <x:c r="AA18" s="27" t="inlineStr">
        <x:is>
          <x:t xml:space="preserve">Planned</x:t>
        </x:is>
      </x:c>
      <x:c r="AB18" s="27" t="inlineStr">
        <x:is>
          <x:t xml:space="preserve">Khaled (thesis author)</x:t>
        </x:is>
      </x:c>
      <x:c r="AC18" s="27" t="inlineStr">
        <x:is>
          <x:t xml:space="preserve"/>
        </x:is>
      </x:c>
      <x:c r="AD18" s="27" t="inlineStr">
        <x:is>
          <x:t xml:space="preserve"/>
        </x:is>
      </x:c>
      <x:c r="AE18" s="27" t="inlineStr">
        <x:is>
          <x:t xml:space="preserve"/>
        </x:is>
      </x:c>
      <x:c r="AF18" s="27" t="str">
        <x:f>IF($AA18="Dropped","N/A",IF(AND($H18&lt;&gt;"",$J18&lt;&gt;"",$K18&lt;&gt;"",$M18&lt;&gt;"",$N18&lt;&gt;"",$P18&lt;&gt;"",$R18&lt;&gt;"",$U18&lt;&gt;"",$V18&lt;&gt;"",$W18&lt;&gt;"",$Z18&lt;&gt;"",$Y18&lt;&gt;""),"READY","INCOMPLETE"))</x:f>
        <x:v>READY</x:v>
      </x:c>
    </x:row>
    <x:row r="19" ht="102.5390625" hidden="0" customHeight="1">
      <x:c r="A19" s="22" t="inlineStr">
        <x:is>
          <x:t xml:space="preserve">E18</x:t>
        </x:is>
      </x:c>
      <x:c r="B19" s="22" t="inlineStr">
        <x:is>
          <x:t xml:space="preserve">External open-source split replication</x:t>
        </x:is>
      </x:c>
      <x:c r="C19" s="22" t="inlineStr">
        <x:is>
          <x:t xml:space="preserve">External exploratory</x:t>
        </x:is>
      </x:c>
      <x:c r="D19" s="22" t="inlineStr">
        <x:is>
          <x:t xml:space="preserve">Exploratory extension</x:t>
        </x:is>
      </x:c>
      <x:c r="E19" s="22" t="inlineStr">
        <x:is>
          <x:t xml:space="preserve">Stage 7 - Exploratory extension</x:t>
        </x:is>
      </x:c>
      <x:c r="F19" s="22" t="inlineStr">
        <x:is>
          <x:t xml:space="preserve">Low</x:t>
        </x:is>
      </x:c>
      <x:c r="G19" s="22" t="inlineStr">
        <x:is>
          <x:t xml:space="preserve">External split-consistency exploration</x:t>
        </x:is>
      </x:c>
      <x:c r="H19" s="22" t="inlineStr">
        <x:is>
          <x:t xml:space="preserve">Does the same leakage-aware split logic materially affect conclusions on a compatible external open-source dataset?</x:t>
        </x:is>
      </x:c>
      <x:c r="I19" s="22" t="inlineStr">
        <x:is>
          <x:t xml:space="preserve">Evaluate under leakage-aware claim-matched split logic before interpretation.</x:t>
        </x:is>
      </x:c>
      <x:c r="J19" s="22" t="inlineStr">
        <x:is>
          <x:t xml:space="preserve">Dataset source</x:t>
        </x:is>
      </x:c>
      <x:c r="K19" s="22" t="inlineStr">
        <x:is>
          <x:t xml:space="preserve">Dataset index version, train-only fitting policy, metric definitions, seed policy, artifact schema.</x:t>
        </x:is>
      </x:c>
      <x:c r="L19" s="22" t="inlineStr">
        <x:is>
          <x:t xml:space="preserve">External open-source dataset if available and approved</x:t>
        </x:is>
      </x:c>
      <x:c r="M19" s="22" t="inlineStr">
        <x:is>
          <x:t xml:space="preserve">coarse_affect unless this experiment manipulates target granularity.</x:t>
        </x:is>
      </x:c>
      <x:c r="N19" s="22" t="inlineStr">
        <x:is>
          <x:t xml:space="preserve">Claim-matched leakage-safe split strategy.</x:t>
        </x:is>
      </x:c>
      <x:c r="O19" s="22" t="inlineStr">
        <x:is>
          <x:t xml:space="preserve">Performance inflation if split logic or fit scope leaks train/test information.</x:t>
        </x:is>
      </x:c>
      <x:c r="P19" s="22" t="inlineStr">
        <x:is>
          <x:t xml:space="preserve">Predefined split manifests, train-only fitting, frozen transfer where applicable, no test-driven tuning.</x:t>
        </x:is>
      </x:c>
      <x:c r="Q19" s="22" t="inlineStr">
        <x:is>
          <x:t xml:space="preserve">ridge baseline unless model family is manipulated.</x:t>
        </x:is>
      </x:c>
      <x:c r="R19" s="22" t="inlineStr">
        <x:is>
          <x:t xml:space="preserve">Balanced accuracy</x:t>
        </x:is>
      </x:c>
      <x:c r="S19" s="22" t="inlineStr">
        <x:is>
          <x:t xml:space="preserve">Macro-F1; class-wise recall; accuracy</x:t>
        </x:is>
      </x:c>
      <x:c r="T19" s="22" t="inlineStr">
        <x:is>
          <x:t xml:space="preserve">Fold-level checks and stress controls where relevant.</x:t>
        </x:is>
      </x:c>
      <x:c r="U19" s="22" t="inlineStr">
        <x:is>
          <x:t xml:space="preserve">Pre-specified criterion recorded before interpretation.</x:t>
        </x:is>
      </x:c>
      <x:c r="V19" s="22" t="inlineStr">
        <x:is>
          <x:t xml:space="preserve">Stable claim-consistent performance without leakage indicators.</x:t>
        </x:is>
      </x:c>
      <x:c r="W19" s="22" t="inlineStr">
        <x:is>
          <x:t xml:space="preserve">Weak-split inflation, instability, class collapse, or directionally inconsistent evidence.</x:t>
        </x:is>
      </x:c>
      <x:c r="X19" s="22" t="inlineStr">
        <x:is>
          <x:t xml:space="preserve">Class imbalance, sample limits, domain shift, and model/split sensitivity.</x:t>
        </x:is>
      </x:c>
      <x:c r="Y19" s="22" t="inlineStr">
        <x:is>
          <x:t xml:space="preserve">Appendix</x:t>
        </x:is>
      </x:c>
      <x:c r="Z19" s="22" t="inlineStr">
        <x:is>
          <x:t xml:space="preserve">Interpret only under stated split logic/evidence tier; no causal or localization claims.</x:t>
        </x:is>
      </x:c>
      <x:c r="AA19" s="22" t="inlineStr">
        <x:is>
          <x:t xml:space="preserve">Planned</x:t>
        </x:is>
      </x:c>
      <x:c r="AB19" s="22" t="inlineStr">
        <x:is>
          <x:t xml:space="preserve">Khaled (thesis author)</x:t>
        </x:is>
      </x:c>
      <x:c r="AC19" s="22" t="inlineStr">
        <x:is>
          <x:t xml:space="preserve"/>
        </x:is>
      </x:c>
      <x:c r="AD19" s="22" t="inlineStr">
        <x:is>
          <x:t xml:space="preserve"/>
        </x:is>
      </x:c>
      <x:c r="AE19" s="22" t="inlineStr">
        <x:is>
          <x:t xml:space="preserve"/>
        </x:is>
      </x:c>
      <x:c r="AF19" s="22" t="str">
        <x:f>IF($AA19="Dropped","N/A",IF(AND($H19&lt;&gt;"",$J19&lt;&gt;"",$K19&lt;&gt;"",$M19&lt;&gt;"",$N19&lt;&gt;"",$P19&lt;&gt;"",$R19&lt;&gt;"",$U19&lt;&gt;"",$V19&lt;&gt;"",$W19&lt;&gt;"",$Z19&lt;&gt;"",$Y19&lt;&gt;""),"READY","INCOMPLETE"))</x:f>
        <x:v>READY</x:v>
      </x:c>
    </x:row>
    <x:row r="20" ht="85.44921875" hidden="0" customHeight="1">
      <x:c r="A20" s="27" t="inlineStr">
        <x:is>
          <x:t xml:space="preserve">E19</x:t>
        </x:is>
      </x:c>
      <x:c r="B20" s="27" t="inlineStr">
        <x:is>
          <x:t xml:space="preserve">External open-source model portability</x:t>
        </x:is>
      </x:c>
      <x:c r="C20" s="27" t="inlineStr">
        <x:is>
          <x:t xml:space="preserve">External exploratory</x:t>
        </x:is>
      </x:c>
      <x:c r="D20" s="27" t="inlineStr">
        <x:is>
          <x:t xml:space="preserve">Exploratory extension</x:t>
        </x:is>
      </x:c>
      <x:c r="E20" s="27" t="inlineStr">
        <x:is>
          <x:t xml:space="preserve">Stage 7 - Exploratory extension</x:t>
        </x:is>
      </x:c>
      <x:c r="F20" s="27" t="inlineStr">
        <x:is>
          <x:t xml:space="preserve">Low</x:t>
        </x:is>
      </x:c>
      <x:c r="G20" s="27" t="inlineStr">
        <x:is>
          <x:t xml:space="preserve">External model portability exploration</x:t>
        </x:is>
      </x:c>
      <x:c r="H20" s="27" t="inlineStr">
        <x:is>
          <x:t xml:space="preserve">Does the relative ranking of reasonable model choices remain similar on external data?</x:t>
        </x:is>
      </x:c>
      <x:c r="I20" s="27" t="inlineStr">
        <x:is>
          <x:t xml:space="preserve">Evaluate under leakage-aware claim-matched split logic before interpretation.</x:t>
        </x:is>
      </x:c>
      <x:c r="J20" s="27" t="inlineStr">
        <x:is>
          <x:t xml:space="preserve">Dataset source with same small model set</x:t>
        </x:is>
      </x:c>
      <x:c r="K20" s="27" t="inlineStr">
        <x:is>
          <x:t xml:space="preserve">Dataset index version, train-only fitting policy, metric definitions, seed policy, artifact schema.</x:t>
        </x:is>
      </x:c>
      <x:c r="L20" s="27" t="inlineStr">
        <x:is>
          <x:t xml:space="preserve">External open-source dataset if available and approved</x:t>
        </x:is>
      </x:c>
      <x:c r="M20" s="27" t="inlineStr">
        <x:is>
          <x:t xml:space="preserve">coarse_affect unless this experiment manipulates target granularity.</x:t>
        </x:is>
      </x:c>
      <x:c r="N20" s="27" t="inlineStr">
        <x:is>
          <x:t xml:space="preserve">Claim-matched leakage-safe split strategy.</x:t>
        </x:is>
      </x:c>
      <x:c r="O20" s="27" t="inlineStr">
        <x:is>
          <x:t xml:space="preserve">Performance inflation if split logic or fit scope leaks train/test information.</x:t>
        </x:is>
      </x:c>
      <x:c r="P20" s="27" t="inlineStr">
        <x:is>
          <x:t xml:space="preserve">Predefined split manifests, train-only fitting, frozen transfer where applicable, no test-driven tuning.</x:t>
        </x:is>
      </x:c>
      <x:c r="Q20" s="27" t="inlineStr">
        <x:is>
          <x:t xml:space="preserve">ridge vs logreg vs linearsvc</x:t>
        </x:is>
      </x:c>
      <x:c r="R20" s="27" t="inlineStr">
        <x:is>
          <x:t xml:space="preserve">Balanced accuracy</x:t>
        </x:is>
      </x:c>
      <x:c r="S20" s="27" t="inlineStr">
        <x:is>
          <x:t xml:space="preserve">Macro-F1; class-wise recall; accuracy</x:t>
        </x:is>
      </x:c>
      <x:c r="T20" s="27" t="inlineStr">
        <x:is>
          <x:t xml:space="preserve">Fold-level checks and stress controls where relevant.</x:t>
        </x:is>
      </x:c>
      <x:c r="U20" s="27" t="inlineStr">
        <x:is>
          <x:t xml:space="preserve">Pre-specified criterion recorded before interpretation.</x:t>
        </x:is>
      </x:c>
      <x:c r="V20" s="27" t="inlineStr">
        <x:is>
          <x:t xml:space="preserve">Stable claim-consistent performance without leakage indicators.</x:t>
        </x:is>
      </x:c>
      <x:c r="W20" s="27" t="inlineStr">
        <x:is>
          <x:t xml:space="preserve">Weak-split inflation, instability, class collapse, or directionally inconsistent evidence.</x:t>
        </x:is>
      </x:c>
      <x:c r="X20" s="27" t="inlineStr">
        <x:is>
          <x:t xml:space="preserve">Class imbalance, sample limits, domain shift, and model/split sensitivity.</x:t>
        </x:is>
      </x:c>
      <x:c r="Y20" s="27" t="inlineStr">
        <x:is>
          <x:t xml:space="preserve">Appendix</x:t>
        </x:is>
      </x:c>
      <x:c r="Z20" s="27" t="inlineStr">
        <x:is>
          <x:t xml:space="preserve">Interpret only under stated split logic/evidence tier; no causal or localization claims.</x:t>
        </x:is>
      </x:c>
      <x:c r="AA20" s="27" t="inlineStr">
        <x:is>
          <x:t xml:space="preserve">Planned</x:t>
        </x:is>
      </x:c>
      <x:c r="AB20" s="27" t="inlineStr">
        <x:is>
          <x:t xml:space="preserve">Khaled (thesis author)</x:t>
        </x:is>
      </x:c>
      <x:c r="AC20" s="27" t="inlineStr">
        <x:is>
          <x:t xml:space="preserve"/>
        </x:is>
      </x:c>
      <x:c r="AD20" s="27" t="inlineStr">
        <x:is>
          <x:t xml:space="preserve"/>
        </x:is>
      </x:c>
      <x:c r="AE20" s="27" t="inlineStr">
        <x:is>
          <x:t xml:space="preserve"/>
        </x:is>
      </x:c>
      <x:c r="AF20" s="27" t="str">
        <x:f>IF($AA20="Dropped","N/A",IF(AND($H20&lt;&gt;"",$J20&lt;&gt;"",$K20&lt;&gt;"",$M20&lt;&gt;"",$N20&lt;&gt;"",$P20&lt;&gt;"",$R20&lt;&gt;"",$U20&lt;&gt;"",$V20&lt;&gt;"",$W20&lt;&gt;"",$Z20&lt;&gt;"",$Y20&lt;&gt;""),"READY","INCOMPLETE"))</x:f>
        <x:v>READY</x:v>
      </x:c>
    </x:row>
    <x:row r="21" ht="119.62890625" hidden="0" customHeight="1">
      <x:c r="A21" s="20" t="str">
        <x:v>E20</x:v>
      </x:c>
      <x:c r="B21" s="20" t="str">
        <x:v>Confound diagnostics package</x:v>
      </x:c>
      <x:c r="C21" s="20" t="str">
        <x:v>Robustness</x:v>
      </x:c>
      <x:c r="D21" s="20" t="str">
        <x:v>Primary-supporting robustness</x:v>
      </x:c>
      <x:c r="E21" s="20" t="str">
        <x:v>Stage 6 - Robustness analysis</x:v>
      </x:c>
      <x:c r="F21" s="20" t="str">
        <x:v>High</x:v>
      </x:c>
      <x:c r="G21" s="20" t="str">
        <x:v>Confound-risk interpretation support</x:v>
      </x:c>
      <x:c r="H21" s="20" t="str">
        <x:v>Can the same feature space decode non-target variables such as task, modality, or session proxy strongly enough to challenge the preferred interpretation?</x:v>
      </x:c>
      <x:c r="I21" s="20" t="str">
        <x:v>Main affect-decoding evidence should not be explained away by obviously stronger non-target structure.</x:v>
      </x:c>
      <x:c r="J21" s="20" t="str">
        <x:v>Diagnostic target and nuisance structure</x:v>
      </x:c>
      <x:c r="K21" s="20" t="str">
        <x:v>Dataset index version, train-only fitting policy, metric definitions, seed policy, artifact schema.</x:v>
      </x:c>
      <x:c r="L21" s="20" t="str">
        <x:v>Internal repeated-session BAS2 dataset (sub-001 and sub-002) unless explicitly external.</x:v>
      </x:c>
      <x:c r="M21" s="20" t="str">
        <x:v>coarse_affect plus non-target diagnostic labels</x:v>
      </x:c>
      <x:c r="N21" s="20" t="str">
        <x:v>within_subject_loso_session under matched diagnostic setups</x:v>
      </x:c>
      <x:c r="O21" s="20" t="str">
        <x:v>Risk that non-target structure masquerades as target signal.</x:v>
      </x:c>
      <x:c r="P21" s="20" t="str">
        <x:v>Train-only fitting, matched diagnostic pipeline, no test-driven target redesign.</x:v>
      </x:c>
      <x:c r="Q21" s="20" t="str">
        <x:v>ridge baseline unless model family is manipulated.</x:v>
      </x:c>
      <x:c r="R21" s="20" t="str">
        <x:v>Balanced accuracy</x:v>
      </x:c>
      <x:c r="S21" s="20" t="str">
        <x:v>Macro-F1; diagnostic class recall</x:v>
      </x:c>
      <x:c r="T21" s="20" t="str">
        <x:v>Compare target decoding with task/modality/session-proxy diagnostic decoding.</x:v>
      </x:c>
      <x:c r="U21" s="20" t="str">
        <x:v>Use to narrow interpretation if non-target structure appears dominant or easier to decode than the target.</x:v>
      </x:c>
      <x:c r="V21" s="20" t="str">
        <x:v>Target result remains interpretable after diagnostic comparison and nuisance review.</x:v>
      </x:c>
      <x:c r="W21" s="20" t="str">
        <x:v>Non-target diagnostics dominate or strongly compete with the target explanation.</x:v>
      </x:c>
      <x:c r="X21" s="20" t="str">
        <x:v>Confounding structure, task dependence, modality effects, session drift.</x:v>
      </x:c>
      <x:c r="Y21" s="20" t="str">
        <x:v>Chapter 4 Supporting robustness</x:v>
      </x:c>
      <x:c r="Z21" s="20" t="str">
        <x:v>Interpretation-boundary evidence only; can narrow claims even when the main result remains positive.</x:v>
      </x:c>
      <x:c r="AA21" s="20" t="str">
        <x:v>Planned</x:v>
      </x:c>
      <x:c r="AB21" s="20" t="str">
        <x:v>Khaled (thesis author)</x:v>
      </x:c>
      <x:c r="AC21" s="20"/>
      <x:c r="AD21" s="20"/>
      <x:c r="AE21" s="20" t="str">
        <x:v>New high-value validity experiment.</x:v>
      </x:c>
      <x:c r="AF21" s="20"/>
    </x:row>
    <x:row r="22" ht="102.5390625" hidden="0" customHeight="1">
      <x:c r="A22" s="20" t="str">
        <x:v>E21</x:v>
      </x:c>
      <x:c r="B22" s="20" t="str">
        <x:v>Leave-task-out generalization</x:v>
      </x:c>
      <x:c r="C22" s="20" t="str">
        <x:v>Robustness</x:v>
      </x:c>
      <x:c r="D22" s="20" t="str">
        <x:v>Primary-supporting robustness</x:v>
      </x:c>
      <x:c r="E22" s="20" t="str">
        <x:v>Stage 6 - Robustness analysis</x:v>
      </x:c>
      <x:c r="F22" s="20" t="str">
        <x:v>High</x:v>
      </x:c>
      <x:c r="G22" s="20" t="str">
        <x:v>Task-generalization support</x:v>
      </x:c>
      <x:c r="H22" s="20" t="str">
        <x:v>Does a model trained without one task retain directionally similar performance when evaluated on the held-out task within subject?</x:v>
      </x:c>
      <x:c r="I22" s="20" t="str">
        <x:v>If the signal is partly task-general, held-out-task performance should remain directionally supportive.</x:v>
      </x:c>
      <x:c r="J22" s="20" t="str">
        <x:v>Held-out task</x:v>
      </x:c>
      <x:c r="K22" s="20" t="str">
        <x:v>Dataset index version, train-only fitting policy, metric definitions, seed policy, artifact schema.</x:v>
      </x:c>
      <x:c r="L22" s="20" t="str">
        <x:v>Internal repeated-session BAS2 dataset (sub-001 and sub-002) unless explicitly external.</x:v>
      </x:c>
      <x:c r="M22" s="20" t="str">
        <x:v>coarse_affect unless this experiment manipulates target granularity.</x:v>
      </x:c>
      <x:c r="N22" s="20" t="str">
        <x:v>leave-task-out within subject</x:v>
      </x:c>
      <x:c r="O22" s="20" t="str">
        <x:v>Performance inflation if split logic or fit scope leaks train/test information.</x:v>
      </x:c>
      <x:c r="P22" s="20" t="str">
        <x:v>Held-out task excluded from all train-side fitting and tuning steps.</x:v>
      </x:c>
      <x:c r="Q22" s="20" t="str">
        <x:v>ridge baseline unless model family is manipulated.</x:v>
      </x:c>
      <x:c r="R22" s="20" t="str">
        <x:v>Balanced accuracy</x:v>
      </x:c>
      <x:c r="S22" s="20" t="str">
        <x:v>Macro-F1; class-wise recall; accuracy</x:v>
      </x:c>
      <x:c r="T22" s="20" t="str">
        <x:v>Held-out task comparisons against the locked pooled-task baseline.</x:v>
      </x:c>
      <x:c r="U22" s="20" t="str">
        <x:v>Use as supporting robustness, not as a replacement for the primary held-out-session claim.</x:v>
      </x:c>
      <x:c r="V22" s="20" t="str">
        <x:v>Directionally supportive performance on held-out tasks without collapse.</x:v>
      </x:c>
      <x:c r="W22" s="20" t="str">
        <x:v>Performance collapses on held-out tasks, suggesting strong task-bound signal.</x:v>
      </x:c>
      <x:c r="X22" s="20" t="str">
        <x:v>Task-specific confounding, sample imbalance, limited task coverage.</x:v>
      </x:c>
      <x:c r="Y22" s="20" t="str">
        <x:v>Chapter 4 Supporting robustness</x:v>
      </x:c>
      <x:c r="Z22" s="20" t="str">
        <x:v>Task-generalization support only; not the primary confirmatory split.</x:v>
      </x:c>
      <x:c r="AA22" s="20" t="str">
        <x:v>Planned</x:v>
      </x:c>
      <x:c r="AB22" s="20" t="str">
        <x:v>Khaled (thesis author)</x:v>
      </x:c>
      <x:c r="AC22" s="20"/>
      <x:c r="AD22" s="20"/>
      <x:c r="AE22" s="20" t="str">
        <x:v>New robustness experiment focused on construct validity across tasks.</x:v>
      </x:c>
      <x:c r="AF22" s="20"/>
    </x:row>
    <x:row r="23" ht="102.5390625" hidden="0" customHeight="1">
      <x:c r="A23" s="20" t="str">
        <x:v>E22</x:v>
      </x:c>
      <x:c r="B23" s="20" t="str">
        <x:v>Leave-modality-out generalization</x:v>
      </x:c>
      <x:c r="C23" s="20" t="str">
        <x:v>Robustness</x:v>
      </x:c>
      <x:c r="D23" s="20" t="str">
        <x:v>Primary-supporting robustness</x:v>
      </x:c>
      <x:c r="E23" s="20" t="str">
        <x:v>Stage 6 - Robustness analysis</x:v>
      </x:c>
      <x:c r="F23" s="20" t="str">
        <x:v>High</x:v>
      </x:c>
      <x:c r="G23" s="20" t="str">
        <x:v>Modality-generalization support</x:v>
      </x:c>
      <x:c r="H23" s="20" t="str">
        <x:v>Does a model trained without one modality retain directionally similar performance when evaluated on the held-out modality within subject?</x:v>
      </x:c>
      <x:c r="I23" s="20" t="str">
        <x:v>If the signal is partly modality-general, held-out-modality performance should remain directionally supportive.</x:v>
      </x:c>
      <x:c r="J23" s="20" t="str">
        <x:v>Held-out modality</x:v>
      </x:c>
      <x:c r="K23" s="20" t="str">
        <x:v>Dataset index version, train-only fitting policy, metric definitions, seed policy, artifact schema.</x:v>
      </x:c>
      <x:c r="L23" s="20" t="str">
        <x:v>Internal repeated-session BAS2 dataset (sub-001 and sub-002) unless explicitly external.</x:v>
      </x:c>
      <x:c r="M23" s="20" t="str">
        <x:v>coarse_affect unless this experiment manipulates target granularity.</x:v>
      </x:c>
      <x:c r="N23" s="20" t="str">
        <x:v>leave-modality-out within subject</x:v>
      </x:c>
      <x:c r="O23" s="20" t="str">
        <x:v>Performance inflation if split logic or fit scope leaks train/test information.</x:v>
      </x:c>
      <x:c r="P23" s="20" t="str">
        <x:v>Held-out modality excluded from all train-side fitting and tuning steps.</x:v>
      </x:c>
      <x:c r="Q23" s="20" t="str">
        <x:v>ridge baseline unless model family is manipulated.</x:v>
      </x:c>
      <x:c r="R23" s="20" t="str">
        <x:v>Balanced accuracy</x:v>
      </x:c>
      <x:c r="S23" s="20" t="str">
        <x:v>Macro-F1; class-wise recall; accuracy</x:v>
      </x:c>
      <x:c r="T23" s="20" t="str">
        <x:v>Held-out modality comparisons against the locked pooled-modality baseline.</x:v>
      </x:c>
      <x:c r="U23" s="20" t="str">
        <x:v>Use as supporting robustness, not as a replacement for the primary held-out-session claim.</x:v>
      </x:c>
      <x:c r="V23" s="20" t="str">
        <x:v>Directionally supportive performance on held-out modalities without collapse.</x:v>
      </x:c>
      <x:c r="W23" s="20" t="str">
        <x:v>Performance collapses on held-out modalities, suggesting strong modality-bound signal.</x:v>
      </x:c>
      <x:c r="X23" s="20" t="str">
        <x:v>Modality-specific confounding, sample imbalance, limited modality coverage.</x:v>
      </x:c>
      <x:c r="Y23" s="20" t="str">
        <x:v>Chapter 4 Supporting robustness</x:v>
      </x:c>
      <x:c r="Z23" s="20" t="str">
        <x:v>Modality-generalization support only; not the primary confirmatory split.</x:v>
      </x:c>
      <x:c r="AA23" s="20" t="str">
        <x:v>Planned</x:v>
      </x:c>
      <x:c r="AB23" s="20" t="str">
        <x:v>Khaled (thesis author)</x:v>
      </x:c>
      <x:c r="AC23" s="20"/>
      <x:c r="AD23" s="20"/>
      <x:c r="AE23" s="20" t="str">
        <x:v>New robustness experiment focused on construct validity across modalities.</x:v>
      </x:c>
      <x:c r="AF23" s="20"/>
    </x:row>
    <x:row r="24" ht="102.5390625" hidden="0" customHeight="1">
      <x:c r="A24" s="20" t="str">
        <x:v>E23</x:v>
      </x:c>
      <x:c r="B24" s="20" t="str">
        <x:v>Session-influence / jackknife robustness</x:v>
      </x:c>
      <x:c r="C24" s="20" t="str">
        <x:v>Robustness</x:v>
      </x:c>
      <x:c r="D24" s="20" t="str">
        <x:v>Primary-supporting robustness</x:v>
      </x:c>
      <x:c r="E24" s="20" t="str">
        <x:v>Stage 6 - Robustness analysis</x:v>
      </x:c>
      <x:c r="F24" s="20" t="str">
        <x:v>High</x:v>
      </x:c>
      <x:c r="G24" s="20" t="str">
        <x:v>Session-influence robustness support</x:v>
      </x:c>
      <x:c r="H24" s="20" t="str">
        <x:v>Do the main conclusions remain directionally stable when one designated session or subset is omitted from the training pool?</x:v>
      </x:c>
      <x:c r="I24" s="20" t="str">
        <x:v>A stable result should not depend entirely on one unusually easy or unusually clean session.</x:v>
      </x:c>
      <x:c r="J24" s="20" t="str">
        <x:v>Omitted session or subset</x:v>
      </x:c>
      <x:c r="K24" s="20" t="str">
        <x:v>Dataset index version, train-only fitting policy, metric definitions, seed policy, artifact schema.</x:v>
      </x:c>
      <x:c r="L24" s="20" t="str">
        <x:v>Internal repeated-session BAS2 dataset (sub-001 and sub-002) unless explicitly external.</x:v>
      </x:c>
      <x:c r="M24" s="20" t="str">
        <x:v>coarse_affect unless this experiment manipulates target granularity.</x:v>
      </x:c>
      <x:c r="N24" s="20" t="str">
        <x:v>session-influence exclusion under the same held-out-session framework</x:v>
      </x:c>
      <x:c r="O24" s="20" t="str">
        <x:v>Performance inflation if split logic or fit scope leaks train/test information.</x:v>
      </x:c>
      <x:c r="P24" s="20" t="str">
        <x:v>One omission at a time; omitted subset excluded from all train-side transforms and summaries.</x:v>
      </x:c>
      <x:c r="Q24" s="20" t="str">
        <x:v>ridge baseline unless model family is manipulated.</x:v>
      </x:c>
      <x:c r="R24" s="20" t="str">
        <x:v>Balanced accuracy</x:v>
      </x:c>
      <x:c r="S24" s="20" t="str">
        <x:v>Macro-F1; class-wise recall; accuracy</x:v>
      </x:c>
      <x:c r="T24" s="20" t="str">
        <x:v>Jackknife-style omission analysis against the locked baseline.</x:v>
      </x:c>
      <x:c r="U24" s="20" t="str">
        <x:v>Use to assess whether the main result is overly dependent on a small subset of sessions.</x:v>
      </x:c>
      <x:c r="V24" s="20" t="str">
        <x:v>Directionally stable conclusions across omission reruns.</x:v>
      </x:c>
      <x:c r="W24" s="20" t="str">
        <x:v>Large swings or reversals after omitting a single subset.</x:v>
      </x:c>
      <x:c r="X24" s="20" t="str">
        <x:v>Repeated-measures dependence, influential sessions, small-sample fragility.</x:v>
      </x:c>
      <x:c r="Y24" s="20" t="str">
        <x:v>Chapter 4 Supporting robustness</x:v>
      </x:c>
      <x:c r="Z24" s="20" t="str">
        <x:v>Sensitivity evidence only; narrows claims if instability appears.</x:v>
      </x:c>
      <x:c r="AA24" s="20" t="str">
        <x:v>Planned</x:v>
      </x:c>
      <x:c r="AB24" s="20" t="str">
        <x:v>Khaled (thesis author)</x:v>
      </x:c>
      <x:c r="AC24" s="20"/>
      <x:c r="AD24" s="20"/>
      <x:c r="AE24" s="20" t="str">
        <x:v>New reliability-focused robustness experiment.</x:v>
      </x:c>
      <x:c r="AF24" s="20"/>
    </x:row>
    <x:row r="25" ht="102.5390625" hidden="0" customHeight="1">
      <x:c r="A25" s="20" t="str">
        <x:v>E24</x:v>
      </x:c>
      <x:c r="B25" s="20" t="str">
        <x:v>Reproducibility rerun audit</x:v>
      </x:c>
      <x:c r="C25" s="20" t="str">
        <x:v>Robustness</x:v>
      </x:c>
      <x:c r="D25" s="20" t="str">
        <x:v>Primary-supporting robustness</x:v>
      </x:c>
      <x:c r="E25" s="20" t="str">
        <x:v>Stage 6 - Robustness analysis</x:v>
      </x:c>
      <x:c r="F25" s="20" t="str">
        <x:v>High</x:v>
      </x:c>
      <x:c r="G25" s="20" t="str">
        <x:v>Operational reproducibility support</x:v>
      </x:c>
      <x:c r="H25" s="20" t="str">
        <x:v>Can the frozen confirmatory package be rerun with matching configs, summaries, and artifact bundles?</x:v>
      </x:c>
      <x:c r="I25" s="20" t="str">
        <x:v>A trustworthy final package should be operationally reproducible under the same frozen configuration.</x:v>
      </x:c>
      <x:c r="J25" s="20" t="str">
        <x:v>Rerun identity</x:v>
      </x:c>
      <x:c r="K25" s="20" t="str">
        <x:v>Dataset index version, train-only fitting policy, metric definitions, seed policy, artifact schema.</x:v>
      </x:c>
      <x:c r="L25" s="20" t="str">
        <x:v>Internal repeated-session BAS2 dataset (sub-001 and sub-002) unless explicitly external.</x:v>
      </x:c>
      <x:c r="M25" s="20" t="str">
        <x:v>coarse_affect unless this experiment manipulates target granularity.</x:v>
      </x:c>
      <x:c r="N25" s="20" t="str">
        <x:v>frozen rerun of the locked confirmatory analysis</x:v>
      </x:c>
      <x:c r="O25" s="20" t="str">
        <x:v>Low scientific leakage risk but high trustworthiness risk if reruns diverge.</x:v>
      </x:c>
      <x:c r="P25" s="20" t="str">
        <x:v>Frozen config hash, rerun comparison, artifact and summary verification.</x:v>
      </x:c>
      <x:c r="Q25" s="20" t="str">
        <x:v>Final locked model and pipeline</x:v>
      </x:c>
      <x:c r="R25" s="20" t="str">
        <x:v>Balanced accuracy</x:v>
      </x:c>
      <x:c r="S25" s="20" t="str">
        <x:v>Artifact hash agreement; summary agreement</x:v>
      </x:c>
      <x:c r="T25" s="20" t="str">
        <x:v>Deterministic rerun comparison under frozen configuration.</x:v>
      </x:c>
      <x:c r="U25" s="20" t="str">
        <x:v>Require rerun agreement before treating the package as defense-ready.</x:v>
      </x:c>
      <x:c r="V25" s="20" t="str">
        <x:v>Matching configs, stable summaries, and auditable artifact agreement.</x:v>
      </x:c>
      <x:c r="W25" s="20" t="str">
        <x:v>Config drift, artifact mismatch, or unexplained rerun divergence.</x:v>
      </x:c>
      <x:c r="X25" s="20" t="str">
        <x:v>Operational reproducibility risk, tool drift, environment mismatch.</x:v>
      </x:c>
      <x:c r="Y25" s="20" t="str">
        <x:v>Appendix / Method audit</x:v>
      </x:c>
      <x:c r="Z25" s="20" t="str">
        <x:v>Operational reproducibility only; strengthens trustworthiness but is not itself the main scientific claim.</x:v>
      </x:c>
      <x:c r="AA25" s="20" t="str">
        <x:v>Planned</x:v>
      </x:c>
      <x:c r="AB25" s="20" t="str">
        <x:v>Khaled (thesis author)</x:v>
      </x:c>
      <x:c r="AC25" s="20"/>
      <x:c r="AD25" s="20"/>
      <x:c r="AE25" s="20" t="str">
        <x:v>New audit-focused experiment.</x:v>
      </x:c>
      <x:c r="AF25" s="20"/>
    </x:row>
  </x:sheetData>
  <x:conditionalFormatting sqref="A2:AF200">
    <x:cfRule type="expression" dxfId="0" priority="1">
      <x:formula>$D2="Primary confirmatory"</x:formula>
    </x:cfRule>
    <x:cfRule type="expression" dxfId="1" priority="2">
      <x:formula>ISNUMBER(SEARCH("Exploratory",$D2))</x:formula>
    </x:cfRule>
    <x:cfRule type="expression" dxfId="2" priority="3">
      <x:formula>$F2="Critical"</x:formula>
    </x:cfRule>
    <x:cfRule type="expression" dxfId="3" priority="4">
      <x:formula>$AA2="Dropped"</x:formula>
    </x:cfRule>
    <x:cfRule type="expression" dxfId="4" priority="5">
      <x:formula>OR($H2="",$J2="",$K2="",$M2="",$N2="",$P2="",$R2="",$U2="",$V2="",$W2="",$Z2="",$Y2="")</x:formula>
    </x:cfRule>
  </x:conditionalFormatting>
  <x:dataValidations count="6">
    <x:dataValidation type="list" allowBlank="0" showDropDown="0" showInputMessage="0" showErrorMessage="0" sqref="C2:C500">
      <x:formula1>=List_Category</x:formula1>
    </x:dataValidation>
    <x:dataValidation type="list" allowBlank="0" showDropDown="0" showInputMessage="0" showErrorMessage="0" sqref="D2:D500">
      <x:formula1>=List_Evidential_Role</x:formula1>
    </x:dataValidation>
    <x:dataValidation type="list" allowBlank="0" showDropDown="0" showInputMessage="0" showErrorMessage="0" sqref="E2:E500">
      <x:formula1>=List_Stage</x:formula1>
    </x:dataValidation>
    <x:dataValidation type="list" allowBlank="0" showDropDown="0" showInputMessage="0" showErrorMessage="0" sqref="F2:F500">
      <x:formula1>=List_Priority</x:formula1>
    </x:dataValidation>
    <x:dataValidation type="list" allowBlank="0" showDropDown="0" showInputMessage="0" showErrorMessage="0" sqref="Y2:Y500">
      <x:formula1>=List_Reporting_Destination</x:formula1>
    </x:dataValidation>
    <x:dataValidation type="list" allowBlank="0" showDropDown="0" showInputMessage="0" showErrorMessage="0" sqref="AA2:AA500">
      <x:formula1>=List_Status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9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2" hidden="0" customWidth="1"/>
    <x:col min="9" max="9" width="14" hidden="0" customWidth="1"/>
    <x:col min="10" max="10" width="14" hidden="0" customWidth="1"/>
    <x:col min="11" max="11" width="14" hidden="0" customWidth="1"/>
    <x:col min="12" max="12" width="18" hidden="0" customWidth="1"/>
    <x:col min="13" max="13" width="18" hidden="0" customWidth="1"/>
    <x:col min="14" max="14" width="22" hidden="0" customWidth="1"/>
    <x:col min="15" max="15" width="14" hidden="0" customWidth="1"/>
  </x:cols>
  <x:sheetData>
    <x:row r="1" ht="34.1796875" hidden="0" customHeight="1">
      <x:c r="A1" s="26" t="str">
        <x:v>experiment_id</x:v>
      </x:c>
      <x:c r="B1" s="26" t="str">
        <x:v>enabled</x:v>
      </x:c>
      <x:c r="C1" s="26" t="str">
        <x:v>start_section</x:v>
      </x:c>
      <x:c r="D1" s="26" t="str">
        <x:v>end_section</x:v>
      </x:c>
      <x:c r="E1" s="26" t="str">
        <x:v>base_artifact_id</x:v>
      </x:c>
      <x:c r="F1" s="26" t="str">
        <x:v>target</x:v>
      </x:c>
      <x:c r="G1" s="26" t="str">
        <x:v>cv</x:v>
      </x:c>
      <x:c r="H1" s="26" t="str">
        <x:v>model</x:v>
      </x:c>
      <x:c r="I1" s="26" t="str">
        <x:v>subject</x:v>
      </x:c>
      <x:c r="J1" s="26" t="str">
        <x:v>train_subject</x:v>
      </x:c>
      <x:c r="K1" s="26" t="str">
        <x:v>test_subject</x:v>
      </x:c>
      <x:c r="L1" s="26" t="str">
        <x:v>filter_task</x:v>
      </x:c>
      <x:c r="M1" s="26" t="str">
        <x:v>filter_modality</x:v>
      </x:c>
      <x:c r="N1" s="26" t="str">
        <x:v>reuse_policy</x:v>
      </x:c>
      <x:c r="O1" s="26" t="str">
        <x:v>search_space_id</x:v>
      </x:c>
    </x:row>
    <x:row r="2" ht="34.1796875" hidden="0" customHeight="1">
      <x:c r="A2" s="27" t="str">
        <x:v>E01</x:v>
      </x:c>
      <x:c r="B2" s="27" t="str">
        <x:v>No</x:v>
      </x:c>
      <x:c r="C2" s="27" t="str">
        <x:v>dataset_selection</x:v>
      </x:c>
      <x:c r="D2" s="27" t="str">
        <x:v>evaluation</x:v>
      </x:c>
      <x:c r="E2" s="27"/>
      <x:c r="F2" s="27" t="str">
        <x:v>VARIES</x:v>
      </x:c>
      <x:c r="G2" s="27" t="str">
        <x:v>within_subject_loso_session</x:v>
      </x:c>
      <x:c r="H2" s="27" t="str">
        <x:v>ridge</x:v>
      </x:c>
      <x:c r="I2" s="27"/>
      <x:c r="J2" s="27"/>
      <x:c r="K2" s="27"/>
      <x:c r="L2" s="27"/>
      <x:c r="M2" s="27"/>
      <x:c r="N2" s="27" t="str">
        <x:v>require_explicit_base</x:v>
      </x:c>
      <x:c r="O2" s="27"/>
    </x:row>
    <x:row r="3" ht="34.1796875" hidden="0" customHeight="1">
      <x:c r="A3" s="22" t="str">
        <x:v>E02</x:v>
      </x:c>
      <x:c r="B3" s="22" t="str">
        <x:v>No</x:v>
      </x:c>
      <x:c r="C3" s="22" t="str">
        <x:v>dataset_selection</x:v>
      </x:c>
      <x:c r="D3" s="22" t="str">
        <x:v>evaluation</x:v>
      </x:c>
      <x:c r="E3" s="22"/>
      <x:c r="F3" s="22" t="str">
        <x:v>coarse_affect</x:v>
      </x:c>
      <x:c r="G3" s="22" t="str">
        <x:v>within_subject_loso_session</x:v>
      </x:c>
      <x:c r="H3" s="22" t="str">
        <x:v>ridge</x:v>
      </x:c>
      <x:c r="I3" s="22"/>
      <x:c r="J3" s="22"/>
      <x:c r="K3" s="22"/>
      <x:c r="L3" s="22" t="str">
        <x:v>VARIES</x:v>
      </x:c>
      <x:c r="M3" s="22"/>
      <x:c r="N3" s="22" t="str">
        <x:v>require_explicit_base</x:v>
      </x:c>
      <x:c r="O3" s="22"/>
    </x:row>
    <x:row r="4" ht="34.1796875" hidden="0" customHeight="1">
      <x:c r="A4" s="27" t="str">
        <x:v>E03</x:v>
      </x:c>
      <x:c r="B4" s="27" t="str">
        <x:v>No</x:v>
      </x:c>
      <x:c r="C4" s="27" t="str">
        <x:v>dataset_selection</x:v>
      </x:c>
      <x:c r="D4" s="27" t="str">
        <x:v>evaluation</x:v>
      </x:c>
      <x:c r="E4" s="27"/>
      <x:c r="F4" s="27" t="str">
        <x:v>coarse_affect</x:v>
      </x:c>
      <x:c r="G4" s="27" t="str">
        <x:v>within_subject_loso_session</x:v>
      </x:c>
      <x:c r="H4" s="27" t="str">
        <x:v>ridge</x:v>
      </x:c>
      <x:c r="I4" s="27"/>
      <x:c r="J4" s="27"/>
      <x:c r="K4" s="27"/>
      <x:c r="L4" s="27"/>
      <x:c r="M4" s="27" t="str">
        <x:v>VARIES</x:v>
      </x:c>
      <x:c r="N4" s="27" t="str">
        <x:v>require_explicit_base</x:v>
      </x:c>
      <x:c r="O4" s="27"/>
    </x:row>
    <x:row r="5" ht="34.1796875" hidden="0" customHeight="1">
      <x:c r="A5" s="22" t="str">
        <x:v>E04</x:v>
      </x:c>
      <x:c r="B5" s="22" t="str">
        <x:v>No</x:v>
      </x:c>
      <x:c r="C5" s="22" t="str">
        <x:v>dataset_selection</x:v>
      </x:c>
      <x:c r="D5" s="22" t="str">
        <x:v>evaluation</x:v>
      </x:c>
      <x:c r="E5" s="22"/>
      <x:c r="F5" s="22" t="str">
        <x:v>coarse_affect</x:v>
      </x:c>
      <x:c r="G5" s="22" t="str">
        <x:v>VARIES_SPLIT</x:v>
      </x:c>
      <x:c r="H5" s="22" t="str">
        <x:v>ridge</x:v>
      </x:c>
      <x:c r="I5" s="22"/>
      <x:c r="J5" s="22"/>
      <x:c r="K5" s="22"/>
      <x:c r="L5" s="22"/>
      <x:c r="M5" s="22"/>
      <x:c r="N5" s="22" t="str">
        <x:v>require_explicit_base</x:v>
      </x:c>
      <x:c r="O5" s="22"/>
    </x:row>
    <x:row r="6" ht="34.1796875" hidden="0" customHeight="1">
      <x:c r="A6" s="27" t="str">
        <x:v>E05</x:v>
      </x:c>
      <x:c r="B6" s="27" t="str">
        <x:v>No</x:v>
      </x:c>
      <x:c r="C6" s="27" t="str">
        <x:v>dataset_selection</x:v>
      </x:c>
      <x:c r="D6" s="27" t="str">
        <x:v>evaluation</x:v>
      </x:c>
      <x:c r="E6" s="27"/>
      <x:c r="F6" s="27" t="str">
        <x:v>coarse_affect</x:v>
      </x:c>
      <x:c r="G6" s="27" t="str">
        <x:v>frozen_cross_person_transfer</x:v>
      </x:c>
      <x:c r="H6" s="27" t="str">
        <x:v>ridge</x:v>
      </x:c>
      <x:c r="I6" s="27"/>
      <x:c r="J6" s="27" t="str">
        <x:v>VARIES</x:v>
      </x:c>
      <x:c r="K6" s="27" t="str">
        <x:v>VARIES</x:v>
      </x:c>
      <x:c r="L6" s="27"/>
      <x:c r="M6" s="27"/>
      <x:c r="N6" s="27" t="str">
        <x:v>require_explicit_base</x:v>
      </x:c>
      <x:c r="O6" s="27"/>
    </x:row>
    <x:row r="7" ht="34.1796875" hidden="0" customHeight="1">
      <x:c r="A7" s="22" t="str">
        <x:v>E06</x:v>
      </x:c>
      <x:c r="B7" s="22" t="str">
        <x:v>No</x:v>
      </x:c>
      <x:c r="C7" s="22" t="str">
        <x:v>dataset_selection</x:v>
      </x:c>
      <x:c r="D7" s="22" t="str">
        <x:v>evaluation</x:v>
      </x:c>
      <x:c r="E7" s="22"/>
      <x:c r="F7" s="22" t="str">
        <x:v>coarse_affect</x:v>
      </x:c>
      <x:c r="G7" s="22" t="str">
        <x:v>within_subject_loso_session</x:v>
      </x:c>
      <x:c r="H7" s="22" t="str">
        <x:v>VARIES</x:v>
      </x:c>
      <x:c r="I7" s="22"/>
      <x:c r="J7" s="22"/>
      <x:c r="K7" s="22"/>
      <x:c r="L7" s="22"/>
      <x:c r="M7" s="22"/>
      <x:c r="N7" s="22" t="str">
        <x:v>require_explicit_base</x:v>
      </x:c>
      <x:c r="O7" s="22" t="str">
        <x:v>SS01</x:v>
      </x:c>
    </x:row>
    <x:row r="8" ht="34.1796875" hidden="0" customHeight="1">
      <x:c r="A8" s="27" t="str">
        <x:v>E07</x:v>
      </x:c>
      <x:c r="B8" s="27" t="str">
        <x:v>No</x:v>
      </x:c>
      <x:c r="C8" s="27" t="str">
        <x:v>dataset_selection</x:v>
      </x:c>
      <x:c r="D8" s="27" t="str">
        <x:v>evaluation</x:v>
      </x:c>
      <x:c r="E8" s="27"/>
      <x:c r="F8" s="27" t="str">
        <x:v>coarse_affect</x:v>
      </x:c>
      <x:c r="G8" s="27" t="str">
        <x:v>within_subject_loso_session</x:v>
      </x:c>
      <x:c r="H8" s="27" t="str">
        <x:v>VARIES</x:v>
      </x:c>
      <x:c r="I8" s="27"/>
      <x:c r="J8" s="27"/>
      <x:c r="K8" s="27"/>
      <x:c r="L8" s="27"/>
      <x:c r="M8" s="27"/>
      <x:c r="N8" s="27" t="str">
        <x:v>require_explicit_base</x:v>
      </x:c>
      <x:c r="O8" s="27" t="str">
        <x:v>SS02</x:v>
      </x:c>
    </x:row>
    <x:row r="9" ht="34.1796875" hidden="0" customHeight="1">
      <x:c r="A9" s="22" t="str">
        <x:v>E08</x:v>
      </x:c>
      <x:c r="B9" s="22" t="str">
        <x:v>No</x:v>
      </x:c>
      <x:c r="C9" s="22" t="str">
        <x:v>dataset_selection</x:v>
      </x:c>
      <x:c r="D9" s="22" t="str">
        <x:v>evaluation</x:v>
      </x:c>
      <x:c r="E9" s="22"/>
      <x:c r="F9" s="22" t="str">
        <x:v>coarse_affect</x:v>
      </x:c>
      <x:c r="G9" s="22" t="str">
        <x:v>within_subject_loso_session</x:v>
      </x:c>
      <x:c r="H9" s="22" t="str">
        <x:v>VARIES</x:v>
      </x:c>
      <x:c r="I9" s="22"/>
      <x:c r="J9" s="22"/>
      <x:c r="K9" s="22"/>
      <x:c r="L9" s="22"/>
      <x:c r="M9" s="22"/>
      <x:c r="N9" s="22" t="str">
        <x:v>require_explicit_base</x:v>
      </x:c>
      <x:c r="O9" s="22" t="str">
        <x:v>SS03</x:v>
      </x:c>
    </x:row>
    <x:row r="10" ht="34.1796875" hidden="0" customHeight="1">
      <x:c r="A10" s="27" t="str">
        <x:v>E12</x:v>
      </x:c>
      <x:c r="B10" s="27" t="str">
        <x:v>No</x:v>
      </x:c>
      <x:c r="C10" s="27" t="str">
        <x:v>dataset_selection</x:v>
      </x:c>
      <x:c r="D10" s="27" t="str">
        <x:v>evaluation</x:v>
      </x:c>
      <x:c r="E10" s="27"/>
      <x:c r="F10" s="27" t="str">
        <x:v>coarse_affect</x:v>
      </x:c>
      <x:c r="G10" s="27" t="str">
        <x:v>within_subject_loso_session</x:v>
      </x:c>
      <x:c r="H10" s="27" t="str">
        <x:v>ridge</x:v>
      </x:c>
      <x:c r="I10" s="27"/>
      <x:c r="J10" s="27"/>
      <x:c r="K10" s="27"/>
      <x:c r="L10" s="27"/>
      <x:c r="M10" s="27"/>
      <x:c r="N10" s="27" t="str">
        <x:v>auto</x:v>
      </x:c>
      <x:c r="O10" s="27"/>
    </x:row>
    <x:row r="11" ht="34.1796875" hidden="0" customHeight="1">
      <x:c r="A11" s="22" t="str">
        <x:v>E13</x:v>
      </x:c>
      <x:c r="B11" s="22" t="str">
        <x:v>No</x:v>
      </x:c>
      <x:c r="C11" s="22" t="str">
        <x:v>dataset_selection</x:v>
      </x:c>
      <x:c r="D11" s="22" t="str">
        <x:v>evaluation</x:v>
      </x:c>
      <x:c r="E11" s="22"/>
      <x:c r="F11" s="22" t="str">
        <x:v>coarse_affect</x:v>
      </x:c>
      <x:c r="G11" s="22" t="str">
        <x:v>within_subject_loso_session</x:v>
      </x:c>
      <x:c r="H11" s="22" t="str">
        <x:v>dummy_or_majority</x:v>
      </x:c>
      <x:c r="I11" s="22" t="str">
        <x:v>None</x:v>
      </x:c>
      <x:c r="J11" s="22"/>
      <x:c r="K11" s="22"/>
      <x:c r="L11" s="22"/>
      <x:c r="M11" s="22"/>
      <x:c r="N11" s="22" t="str">
        <x:v>auto</x:v>
      </x:c>
      <x:c r="O11" s="22"/>
    </x:row>
    <x:row r="12" ht="34.1796875" hidden="0" customHeight="1">
      <x:c r="A12" s="27" t="str">
        <x:v>E14</x:v>
      </x:c>
      <x:c r="B12" s="27" t="str">
        <x:v>No</x:v>
      </x:c>
      <x:c r="C12" s="27" t="str">
        <x:v>dataset_selection</x:v>
      </x:c>
      <x:c r="D12" s="27" t="str">
        <x:v>interpretability</x:v>
      </x:c>
      <x:c r="E12" s="27"/>
      <x:c r="F12" s="27" t="str">
        <x:v>coarse_affect</x:v>
      </x:c>
      <x:c r="G12" s="27" t="str">
        <x:v>within_subject_loso_session</x:v>
      </x:c>
      <x:c r="H12" s="27" t="str">
        <x:v>ridge</x:v>
      </x:c>
      <x:c r="I12" s="27"/>
      <x:c r="J12" s="27"/>
      <x:c r="K12" s="27"/>
      <x:c r="L12" s="27"/>
      <x:c r="M12" s="27"/>
      <x:c r="N12" s="27" t="str">
        <x:v>reuse_confirmatory_base</x:v>
      </x:c>
      <x:c r="O12" s="27"/>
    </x:row>
    <x:row r="13" ht="34.1796875" hidden="0" customHeight="1">
      <x:c r="A13" s="22" t="str">
        <x:v>E15</x:v>
      </x:c>
      <x:c r="B13" s="22" t="str">
        <x:v>No</x:v>
      </x:c>
      <x:c r="C13" s="22" t="str">
        <x:v>dataset_selection</x:v>
      </x:c>
      <x:c r="D13" s="22" t="str">
        <x:v>evaluation</x:v>
      </x:c>
      <x:c r="E13" s="22"/>
      <x:c r="F13" s="22" t="str">
        <x:v>coarse_affect</x:v>
      </x:c>
      <x:c r="G13" s="22" t="str">
        <x:v>within_subject_loso_session</x:v>
      </x:c>
      <x:c r="H13" s="22" t="str">
        <x:v>ridge</x:v>
      </x:c>
      <x:c r="I13" s="22"/>
      <x:c r="J13" s="22"/>
      <x:c r="K13" s="22"/>
      <x:c r="L13" s="22" t="str">
        <x:v>VARIES</x:v>
      </x:c>
      <x:c r="M13" s="22" t="str">
        <x:v>VARIES</x:v>
      </x:c>
      <x:c r="N13" s="22" t="str">
        <x:v>require_explicit_base</x:v>
      </x:c>
      <x:c r="O13" s="22"/>
    </x:row>
    <x:row r="14" ht="34.1796875" hidden="0" customHeight="1">
      <x:c r="A14" s="27" t="str">
        <x:v>E16</x:v>
      </x:c>
      <x:c r="B14" s="27" t="str">
        <x:v>No</x:v>
      </x:c>
      <x:c r="C14" s="27" t="str">
        <x:v>dataset_selection</x:v>
      </x:c>
      <x:c r="D14" s="27" t="str">
        <x:v>evaluation</x:v>
      </x:c>
      <x:c r="E14" s="27"/>
      <x:c r="F14" s="27" t="str">
        <x:v>coarse_affect</x:v>
      </x:c>
      <x:c r="G14" s="27" t="str">
        <x:v>within_subject_loso_session</x:v>
      </x:c>
      <x:c r="H14" s="27" t="str">
        <x:v>ridge</x:v>
      </x:c>
      <x:c r="I14" s="27" t="str">
        <x:v>sub-001</x:v>
      </x:c>
      <x:c r="J14" s="27"/>
      <x:c r="K14" s="27"/>
      <x:c r="L14" s="27"/>
      <x:c r="M14" s="27"/>
      <x:c r="N14" s="27" t="str">
        <x:v>auto</x:v>
      </x:c>
      <x:c r="O14" s="27"/>
    </x:row>
    <x:row r="15" ht="34.1796875" hidden="0" customHeight="1">
      <x:c r="A15" s="22" t="str">
        <x:v>E17</x:v>
      </x:c>
      <x:c r="B15" s="22" t="str">
        <x:v>No</x:v>
      </x:c>
      <x:c r="C15" s="22" t="str">
        <x:v>dataset_selection</x:v>
      </x:c>
      <x:c r="D15" s="22" t="str">
        <x:v>evaluation</x:v>
      </x:c>
      <x:c r="E15" s="22"/>
      <x:c r="F15" s="22" t="str">
        <x:v>coarse_affect</x:v>
      </x:c>
      <x:c r="G15" s="22" t="str">
        <x:v>frozen_cross_person_transfer</x:v>
      </x:c>
      <x:c r="H15" s="22" t="str">
        <x:v>ridge</x:v>
      </x:c>
      <x:c r="I15" s="22"/>
      <x:c r="J15" s="22" t="str">
        <x:v>sub-001</x:v>
      </x:c>
      <x:c r="K15" s="22" t="str">
        <x:v>sub-002</x:v>
      </x:c>
      <x:c r="L15" s="22"/>
      <x:c r="M15" s="22"/>
      <x:c r="N15" s="22" t="str">
        <x:v>auto</x:v>
      </x:c>
      <x:c r="O15" s="22"/>
    </x:row>
    <x:row r="16" ht="34.1796875" hidden="0" customHeight="1">
      <x:c r="A16" s="27" t="str">
        <x:v>E20</x:v>
      </x:c>
      <x:c r="B16" s="27" t="str">
        <x:v>No</x:v>
      </x:c>
      <x:c r="C16" s="27" t="str">
        <x:v>dataset_selection</x:v>
      </x:c>
      <x:c r="D16" s="27" t="str">
        <x:v>evaluation</x:v>
      </x:c>
      <x:c r="E16" s="27"/>
      <x:c r="F16" s="27" t="str">
        <x:v>VARIES_DIAGNOSTIC</x:v>
      </x:c>
      <x:c r="G16" s="27" t="str">
        <x:v>within_subject_loso_session</x:v>
      </x:c>
      <x:c r="H16" s="27" t="str">
        <x:v>ridge</x:v>
      </x:c>
      <x:c r="I16" s="27"/>
      <x:c r="J16" s="27"/>
      <x:c r="K16" s="27"/>
      <x:c r="L16" s="27"/>
      <x:c r="M16" s="27"/>
      <x:c r="N16" s="27" t="str">
        <x:v>require_explicit_base</x:v>
      </x:c>
      <x:c r="O16" s="27"/>
    </x:row>
    <x:row r="17" ht="34.1796875" hidden="0" customHeight="1">
      <x:c r="A17" s="22" t="str">
        <x:v>E21</x:v>
      </x:c>
      <x:c r="B17" s="22" t="str">
        <x:v>No</x:v>
      </x:c>
      <x:c r="C17" s="22" t="str">
        <x:v>dataset_selection</x:v>
      </x:c>
      <x:c r="D17" s="22" t="str">
        <x:v>evaluation</x:v>
      </x:c>
      <x:c r="E17" s="22"/>
      <x:c r="F17" s="22" t="str">
        <x:v>coarse_affect</x:v>
      </x:c>
      <x:c r="G17" s="22" t="str">
        <x:v>leave_task_out_within_subject</x:v>
      </x:c>
      <x:c r="H17" s="22" t="str">
        <x:v>ridge</x:v>
      </x:c>
      <x:c r="I17" s="22"/>
      <x:c r="J17" s="22"/>
      <x:c r="K17" s="22"/>
      <x:c r="L17" s="22" t="str">
        <x:v>HELD_OUT_TASK</x:v>
      </x:c>
      <x:c r="M17" s="22"/>
      <x:c r="N17" s="22" t="str">
        <x:v>require_explicit_base</x:v>
      </x:c>
      <x:c r="O17" s="22"/>
    </x:row>
    <x:row r="18" ht="34.1796875" hidden="0" customHeight="1">
      <x:c r="A18" s="27" t="str">
        <x:v>E22</x:v>
      </x:c>
      <x:c r="B18" s="27" t="str">
        <x:v>No</x:v>
      </x:c>
      <x:c r="C18" s="27" t="str">
        <x:v>dataset_selection</x:v>
      </x:c>
      <x:c r="D18" s="27" t="str">
        <x:v>evaluation</x:v>
      </x:c>
      <x:c r="E18" s="27"/>
      <x:c r="F18" s="27" t="str">
        <x:v>coarse_affect</x:v>
      </x:c>
      <x:c r="G18" s="27" t="str">
        <x:v>leave_modality_out_within_subject</x:v>
      </x:c>
      <x:c r="H18" s="27" t="str">
        <x:v>ridge</x:v>
      </x:c>
      <x:c r="I18" s="27"/>
      <x:c r="J18" s="27"/>
      <x:c r="K18" s="27"/>
      <x:c r="L18" s="27"/>
      <x:c r="M18" s="27" t="str">
        <x:v>HELD_OUT_MODALITY</x:v>
      </x:c>
      <x:c r="N18" s="27" t="str">
        <x:v>require_explicit_base</x:v>
      </x:c>
      <x:c r="O18" s="27"/>
    </x:row>
    <x:row r="19" ht="34.1796875" hidden="0" customHeight="1">
      <x:c r="A19" s="22" t="str">
        <x:v>E23</x:v>
      </x:c>
      <x:c r="B19" s="22" t="str">
        <x:v>No</x:v>
      </x:c>
      <x:c r="C19" s="22" t="str">
        <x:v>dataset_selection</x:v>
      </x:c>
      <x:c r="D19" s="22" t="str">
        <x:v>evaluation</x:v>
      </x:c>
      <x:c r="E19" s="22"/>
      <x:c r="F19" s="22" t="str">
        <x:v>coarse_affect</x:v>
      </x:c>
      <x:c r="G19" s="22" t="str">
        <x:v>session_influence_jackknife</x:v>
      </x:c>
      <x:c r="H19" s="22" t="str">
        <x:v>ridge</x:v>
      </x:c>
      <x:c r="I19" s="22"/>
      <x:c r="J19" s="22"/>
      <x:c r="K19" s="22"/>
      <x:c r="L19" s="22"/>
      <x:c r="M19" s="22"/>
      <x:c r="N19" s="22" t="str">
        <x:v>require_explicit_base</x:v>
      </x:c>
      <x:c r="O19" s="22" t="str">
        <x:v>SS04</x:v>
      </x:c>
    </x:row>
    <x:row r="20" ht="34.1796875" hidden="0" customHeight="1">
      <x:c r="A20" s="27" t="str">
        <x:v>E24</x:v>
      </x:c>
      <x:c r="B20" s="27" t="str">
        <x:v>No</x:v>
      </x:c>
      <x:c r="C20" s="27" t="str">
        <x:v>dataset_selection</x:v>
      </x:c>
      <x:c r="D20" s="27" t="str">
        <x:v>evaluation</x:v>
      </x:c>
      <x:c r="E20" s="27"/>
      <x:c r="F20" s="27" t="str">
        <x:v>coarse_affect</x:v>
      </x:c>
      <x:c r="G20" s="27" t="str">
        <x:v>within_subject_loso_session</x:v>
      </x:c>
      <x:c r="H20" s="27" t="str">
        <x:v>ridge</x:v>
      </x:c>
      <x:c r="I20" s="27"/>
      <x:c r="J20" s="27"/>
      <x:c r="K20" s="27"/>
      <x:c r="L20" s="27"/>
      <x:c r="M20" s="27"/>
      <x:c r="N20" s="27" t="str">
        <x:v>reuse_frozen_confirmatory</x:v>
      </x:c>
      <x:c r="O20" s="27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  <x:c r="O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  <x:c r="K22" s="8" t="n"/>
      <x:c r="L22" s="8" t="n"/>
      <x:c r="M22" s="8" t="n"/>
      <x:c r="N22" s="8" t="n"/>
      <x:c r="O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  <x:c r="O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  <x:c r="K24" s="8" t="n"/>
      <x:c r="L24" s="8" t="n"/>
      <x:c r="M24" s="8" t="n"/>
      <x:c r="N24" s="8" t="n"/>
      <x:c r="O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  <x:c r="O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  <x:c r="K26" s="8" t="n"/>
      <x:c r="L26" s="8" t="n"/>
      <x:c r="M26" s="8" t="n"/>
      <x:c r="N26" s="8" t="n"/>
      <x:c r="O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  <x:c r="O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  <x:c r="K28" s="8" t="n"/>
      <x:c r="L28" s="8" t="n"/>
      <x:c r="M28" s="8" t="n"/>
      <x:c r="N28" s="8" t="n"/>
      <x:c r="O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  <x:c r="K30" s="8" t="n"/>
      <x:c r="L30" s="8" t="n"/>
      <x:c r="M30" s="8" t="n"/>
      <x:c r="N30" s="8" t="n"/>
      <x:c r="O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  <x:c r="O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  <x:c r="K32" s="8" t="n"/>
      <x:c r="L32" s="8" t="n"/>
      <x:c r="M32" s="8" t="n"/>
      <x:c r="N32" s="8" t="n"/>
      <x:c r="O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  <x:c r="O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  <x:c r="K34" s="8" t="n"/>
      <x:c r="L34" s="8" t="n"/>
      <x:c r="M34" s="8" t="n"/>
      <x:c r="N34" s="8" t="n"/>
      <x:c r="O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  <x:c r="O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  <x:c r="K36" s="8" t="n"/>
      <x:c r="L36" s="8" t="n"/>
      <x:c r="M36" s="8" t="n"/>
      <x:c r="N36" s="8" t="n"/>
      <x:c r="O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  <x:c r="O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  <x:c r="K38" s="8" t="n"/>
      <x:c r="L38" s="8" t="n"/>
      <x:c r="M38" s="8" t="n"/>
      <x:c r="N38" s="8" t="n"/>
      <x:c r="O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  <x:c r="O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  <x:c r="K40" s="8" t="n"/>
      <x:c r="L40" s="8" t="n"/>
      <x:c r="M40" s="8" t="n"/>
      <x:c r="N40" s="8" t="n"/>
      <x:c r="O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  <x:c r="O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  <x:c r="J42" s="8" t="n"/>
      <x:c r="K42" s="8" t="n"/>
      <x:c r="L42" s="8" t="n"/>
      <x:c r="M42" s="8" t="n"/>
      <x:c r="N42" s="8" t="n"/>
      <x:c r="O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  <x:c r="K43" s="3" t="n"/>
      <x:c r="L43" s="3" t="n"/>
      <x:c r="M43" s="3" t="n"/>
      <x:c r="N43" s="3" t="n"/>
      <x:c r="O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  <x:c r="J44" s="8" t="n"/>
      <x:c r="K44" s="8" t="n"/>
      <x:c r="L44" s="8" t="n"/>
      <x:c r="M44" s="8" t="n"/>
      <x:c r="N44" s="8" t="n"/>
      <x:c r="O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  <x:c r="K45" s="3" t="n"/>
      <x:c r="L45" s="3" t="n"/>
      <x:c r="M45" s="3" t="n"/>
      <x:c r="N45" s="3" t="n"/>
      <x:c r="O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  <x:c r="J46" s="8" t="n"/>
      <x:c r="K46" s="8" t="n"/>
      <x:c r="L46" s="8" t="n"/>
      <x:c r="M46" s="8" t="n"/>
      <x:c r="N46" s="8" t="n"/>
      <x:c r="O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  <x:c r="K47" s="3" t="n"/>
      <x:c r="L47" s="3" t="n"/>
      <x:c r="M47" s="3" t="n"/>
      <x:c r="N47" s="3" t="n"/>
      <x:c r="O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  <x:c r="J48" s="8" t="n"/>
      <x:c r="K48" s="8" t="n"/>
      <x:c r="L48" s="8" t="n"/>
      <x:c r="M48" s="8" t="n"/>
      <x:c r="N48" s="8" t="n"/>
      <x:c r="O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  <x:c r="K49" s="3" t="n"/>
      <x:c r="L49" s="3" t="n"/>
      <x:c r="M49" s="3" t="n"/>
      <x:c r="N49" s="3" t="n"/>
      <x:c r="O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  <x:c r="K50" s="8" t="n"/>
      <x:c r="L50" s="8" t="n"/>
      <x:c r="M50" s="8" t="n"/>
      <x:c r="N50" s="8" t="n"/>
      <x:c r="O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  <x:c r="K51" s="3" t="n"/>
      <x:c r="L51" s="3" t="n"/>
      <x:c r="M51" s="3" t="n"/>
      <x:c r="N51" s="3" t="n"/>
      <x:c r="O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  <x:c r="K52" s="8" t="n"/>
      <x:c r="L52" s="8" t="n"/>
      <x:c r="M52" s="8" t="n"/>
      <x:c r="N52" s="8" t="n"/>
      <x:c r="O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  <x:c r="K53" s="3" t="n"/>
      <x:c r="L53" s="3" t="n"/>
      <x:c r="M53" s="3" t="n"/>
      <x:c r="N53" s="3" t="n"/>
      <x:c r="O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  <x:c r="K54" s="8" t="n"/>
      <x:c r="L54" s="8" t="n"/>
      <x:c r="M54" s="8" t="n"/>
      <x:c r="N54" s="8" t="n"/>
      <x:c r="O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  <x:c r="K55" s="3" t="n"/>
      <x:c r="L55" s="3" t="n"/>
      <x:c r="M55" s="3" t="n"/>
      <x:c r="N55" s="3" t="n"/>
      <x:c r="O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  <x:c r="K56" s="8" t="n"/>
      <x:c r="L56" s="8" t="n"/>
      <x:c r="M56" s="8" t="n"/>
      <x:c r="N56" s="8" t="n"/>
      <x:c r="O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  <x:c r="K57" s="3" t="n"/>
      <x:c r="L57" s="3" t="n"/>
      <x:c r="M57" s="3" t="n"/>
      <x:c r="N57" s="3" t="n"/>
      <x:c r="O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  <x:c r="K58" s="8" t="n"/>
      <x:c r="L58" s="8" t="n"/>
      <x:c r="M58" s="8" t="n"/>
      <x:c r="N58" s="8" t="n"/>
      <x:c r="O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  <x:c r="K59" s="3" t="n"/>
      <x:c r="L59" s="3" t="n"/>
      <x:c r="M59" s="3" t="n"/>
      <x:c r="N59" s="3" t="n"/>
      <x:c r="O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  <x:c r="K60" s="8" t="n"/>
      <x:c r="L60" s="8" t="n"/>
      <x:c r="M60" s="8" t="n"/>
      <x:c r="N60" s="8" t="n"/>
      <x:c r="O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  <x:c r="K61" s="3" t="n"/>
      <x:c r="L61" s="3" t="n"/>
      <x:c r="M61" s="3" t="n"/>
      <x:c r="N61" s="3" t="n"/>
      <x:c r="O61" s="3" t="n"/>
    </x:row>
    <x:row r="62">
      <x:c r="A62" s="8" t="n"/>
      <x:c r="B62" s="8" t="n"/>
      <x:c r="C62" s="8" t="n"/>
      <x:c r="D62" s="8" t="n"/>
      <x:c r="E62" s="8" t="n"/>
      <x:c r="F62" s="8" t="n"/>
      <x:c r="G62" s="8" t="n"/>
      <x:c r="H62" s="8" t="n"/>
      <x:c r="I62" s="8" t="n"/>
      <x:c r="J62" s="8" t="n"/>
      <x:c r="K62" s="8" t="n"/>
      <x:c r="L62" s="8" t="n"/>
      <x:c r="M62" s="8" t="n"/>
      <x:c r="N62" s="8" t="n"/>
      <x:c r="O62" s="8" t="n"/>
    </x:row>
    <x:row r="63">
      <x:c r="A63" s="3" t="n"/>
      <x:c r="B63" s="3" t="n"/>
      <x:c r="C63" s="3" t="n"/>
      <x:c r="D63" s="3" t="n"/>
      <x:c r="E63" s="3" t="n"/>
      <x:c r="F63" s="3" t="n"/>
      <x:c r="G63" s="3" t="n"/>
      <x:c r="H63" s="3" t="n"/>
      <x:c r="I63" s="3" t="n"/>
      <x:c r="J63" s="3" t="n"/>
      <x:c r="K63" s="3" t="n"/>
      <x:c r="L63" s="3" t="n"/>
      <x:c r="M63" s="3" t="n"/>
      <x:c r="N63" s="3" t="n"/>
      <x:c r="O63" s="3" t="n"/>
    </x:row>
    <x:row r="64">
      <x:c r="A64" s="8" t="n"/>
      <x:c r="B64" s="8" t="n"/>
      <x:c r="C64" s="8" t="n"/>
      <x:c r="D64" s="8" t="n"/>
      <x:c r="E64" s="8" t="n"/>
      <x:c r="F64" s="8" t="n"/>
      <x:c r="G64" s="8" t="n"/>
      <x:c r="H64" s="8" t="n"/>
      <x:c r="I64" s="8" t="n"/>
      <x:c r="J64" s="8" t="n"/>
      <x:c r="K64" s="8" t="n"/>
      <x:c r="L64" s="8" t="n"/>
      <x:c r="M64" s="8" t="n"/>
      <x:c r="N64" s="8" t="n"/>
      <x:c r="O64" s="8" t="n"/>
    </x:row>
    <x:row r="65">
      <x:c r="A65" s="3" t="n"/>
      <x:c r="B65" s="3" t="n"/>
      <x:c r="C65" s="3" t="n"/>
      <x:c r="D65" s="3" t="n"/>
      <x:c r="E65" s="3" t="n"/>
      <x:c r="F65" s="3" t="n"/>
      <x:c r="G65" s="3" t="n"/>
      <x:c r="H65" s="3" t="n"/>
      <x:c r="I65" s="3" t="n"/>
      <x:c r="J65" s="3" t="n"/>
      <x:c r="K65" s="3" t="n"/>
      <x:c r="L65" s="3" t="n"/>
      <x:c r="M65" s="3" t="n"/>
      <x:c r="N65" s="3" t="n"/>
      <x:c r="O65" s="3" t="n"/>
    </x:row>
    <x:row r="66">
      <x:c r="A66" s="8" t="n"/>
      <x:c r="B66" s="8" t="n"/>
      <x:c r="C66" s="8" t="n"/>
      <x:c r="D66" s="8" t="n"/>
      <x:c r="E66" s="8" t="n"/>
      <x:c r="F66" s="8" t="n"/>
      <x:c r="G66" s="8" t="n"/>
      <x:c r="H66" s="8" t="n"/>
      <x:c r="I66" s="8" t="n"/>
      <x:c r="J66" s="8" t="n"/>
      <x:c r="K66" s="8" t="n"/>
      <x:c r="L66" s="8" t="n"/>
      <x:c r="M66" s="8" t="n"/>
      <x:c r="N66" s="8" t="n"/>
      <x:c r="O66" s="8" t="n"/>
    </x:row>
    <x:row r="67">
      <x:c r="A67" s="3" t="n"/>
      <x:c r="B67" s="3" t="n"/>
      <x:c r="C67" s="3" t="n"/>
      <x:c r="D67" s="3" t="n"/>
      <x:c r="E67" s="3" t="n"/>
      <x:c r="F67" s="3" t="n"/>
      <x:c r="G67" s="3" t="n"/>
      <x:c r="H67" s="3" t="n"/>
      <x:c r="I67" s="3" t="n"/>
      <x:c r="J67" s="3" t="n"/>
      <x:c r="K67" s="3" t="n"/>
      <x:c r="L67" s="3" t="n"/>
      <x:c r="M67" s="3" t="n"/>
      <x:c r="N67" s="3" t="n"/>
      <x:c r="O67" s="3" t="n"/>
    </x:row>
    <x:row r="68">
      <x:c r="A68" s="8" t="n"/>
      <x:c r="B68" s="8" t="n"/>
      <x:c r="C68" s="8" t="n"/>
      <x:c r="D68" s="8" t="n"/>
      <x:c r="E68" s="8" t="n"/>
      <x:c r="F68" s="8" t="n"/>
      <x:c r="G68" s="8" t="n"/>
      <x:c r="H68" s="8" t="n"/>
      <x:c r="I68" s="8" t="n"/>
      <x:c r="J68" s="8" t="n"/>
      <x:c r="K68" s="8" t="n"/>
      <x:c r="L68" s="8" t="n"/>
      <x:c r="M68" s="8" t="n"/>
      <x:c r="N68" s="8" t="n"/>
      <x:c r="O68" s="8" t="n"/>
    </x:row>
    <x:row r="69">
      <x:c r="A69" s="3" t="n"/>
      <x:c r="B69" s="3" t="n"/>
      <x:c r="C69" s="3" t="n"/>
      <x:c r="D69" s="3" t="n"/>
      <x:c r="E69" s="3" t="n"/>
      <x:c r="F69" s="3" t="n"/>
      <x:c r="G69" s="3" t="n"/>
      <x:c r="H69" s="3" t="n"/>
      <x:c r="I69" s="3" t="n"/>
      <x:c r="J69" s="3" t="n"/>
      <x:c r="K69" s="3" t="n"/>
      <x:c r="L69" s="3" t="n"/>
      <x:c r="M69" s="3" t="n"/>
      <x:c r="N69" s="3" t="n"/>
      <x:c r="O69" s="3" t="n"/>
    </x:row>
    <x:row r="70">
      <x:c r="A70" s="8" t="n"/>
      <x:c r="B70" s="8" t="n"/>
      <x:c r="C70" s="8" t="n"/>
      <x:c r="D70" s="8" t="n"/>
      <x:c r="E70" s="8" t="n"/>
      <x:c r="F70" s="8" t="n"/>
      <x:c r="G70" s="8" t="n"/>
      <x:c r="H70" s="8" t="n"/>
      <x:c r="I70" s="8" t="n"/>
      <x:c r="J70" s="8" t="n"/>
      <x:c r="K70" s="8" t="n"/>
      <x:c r="L70" s="8" t="n"/>
      <x:c r="M70" s="8" t="n"/>
      <x:c r="N70" s="8" t="n"/>
      <x:c r="O70" s="8" t="n"/>
    </x:row>
    <x:row r="71">
      <x:c r="A71" s="3" t="n"/>
      <x:c r="B71" s="3" t="n"/>
      <x:c r="C71" s="3" t="n"/>
      <x:c r="D71" s="3" t="n"/>
      <x:c r="E71" s="3" t="n"/>
      <x:c r="F71" s="3" t="n"/>
      <x:c r="G71" s="3" t="n"/>
      <x:c r="H71" s="3" t="n"/>
      <x:c r="I71" s="3" t="n"/>
      <x:c r="J71" s="3" t="n"/>
      <x:c r="K71" s="3" t="n"/>
      <x:c r="L71" s="3" t="n"/>
      <x:c r="M71" s="3" t="n"/>
      <x:c r="N71" s="3" t="n"/>
      <x:c r="O71" s="3" t="n"/>
    </x:row>
    <x:row r="72">
      <x:c r="A72" s="8" t="n"/>
      <x:c r="B72" s="8" t="n"/>
      <x:c r="C72" s="8" t="n"/>
      <x:c r="D72" s="8" t="n"/>
      <x:c r="E72" s="8" t="n"/>
      <x:c r="F72" s="8" t="n"/>
      <x:c r="G72" s="8" t="n"/>
      <x:c r="H72" s="8" t="n"/>
      <x:c r="I72" s="8" t="n"/>
      <x:c r="J72" s="8" t="n"/>
      <x:c r="K72" s="8" t="n"/>
      <x:c r="L72" s="8" t="n"/>
      <x:c r="M72" s="8" t="n"/>
      <x:c r="N72" s="8" t="n"/>
      <x:c r="O72" s="8" t="n"/>
    </x:row>
    <x:row r="73">
      <x:c r="A73" s="3" t="n"/>
      <x:c r="B73" s="3" t="n"/>
      <x:c r="C73" s="3" t="n"/>
      <x:c r="D73" s="3" t="n"/>
      <x:c r="E73" s="3" t="n"/>
      <x:c r="F73" s="3" t="n"/>
      <x:c r="G73" s="3" t="n"/>
      <x:c r="H73" s="3" t="n"/>
      <x:c r="I73" s="3" t="n"/>
      <x:c r="J73" s="3" t="n"/>
      <x:c r="K73" s="3" t="n"/>
      <x:c r="L73" s="3" t="n"/>
      <x:c r="M73" s="3" t="n"/>
      <x:c r="N73" s="3" t="n"/>
      <x:c r="O73" s="3" t="n"/>
    </x:row>
    <x:row r="74">
      <x:c r="A74" s="8" t="n"/>
      <x:c r="B74" s="8" t="n"/>
      <x:c r="C74" s="8" t="n"/>
      <x:c r="D74" s="8" t="n"/>
      <x:c r="E74" s="8" t="n"/>
      <x:c r="F74" s="8" t="n"/>
      <x:c r="G74" s="8" t="n"/>
      <x:c r="H74" s="8" t="n"/>
      <x:c r="I74" s="8" t="n"/>
      <x:c r="J74" s="8" t="n"/>
      <x:c r="K74" s="8" t="n"/>
      <x:c r="L74" s="8" t="n"/>
      <x:c r="M74" s="8" t="n"/>
      <x:c r="N74" s="8" t="n"/>
      <x:c r="O74" s="8" t="n"/>
    </x:row>
    <x:row r="75">
      <x:c r="A75" s="3" t="n"/>
      <x:c r="B75" s="3" t="n"/>
      <x:c r="C75" s="3" t="n"/>
      <x:c r="D75" s="3" t="n"/>
      <x:c r="E75" s="3" t="n"/>
      <x:c r="F75" s="3" t="n"/>
      <x:c r="G75" s="3" t="n"/>
      <x:c r="H75" s="3" t="n"/>
      <x:c r="I75" s="3" t="n"/>
      <x:c r="J75" s="3" t="n"/>
      <x:c r="K75" s="3" t="n"/>
      <x:c r="L75" s="3" t="n"/>
      <x:c r="M75" s="3" t="n"/>
      <x:c r="N75" s="3" t="n"/>
      <x:c r="O75" s="3" t="n"/>
    </x:row>
    <x:row r="76">
      <x:c r="A76" s="8" t="n"/>
      <x:c r="B76" s="8" t="n"/>
      <x:c r="C76" s="8" t="n"/>
      <x:c r="D76" s="8" t="n"/>
      <x:c r="E76" s="8" t="n"/>
      <x:c r="F76" s="8" t="n"/>
      <x:c r="G76" s="8" t="n"/>
      <x:c r="H76" s="8" t="n"/>
      <x:c r="I76" s="8" t="n"/>
      <x:c r="J76" s="8" t="n"/>
      <x:c r="K76" s="8" t="n"/>
      <x:c r="L76" s="8" t="n"/>
      <x:c r="M76" s="8" t="n"/>
      <x:c r="N76" s="8" t="n"/>
      <x:c r="O76" s="8" t="n"/>
    </x:row>
    <x:row r="77">
      <x:c r="A77" s="3" t="n"/>
      <x:c r="B77" s="3" t="n"/>
      <x:c r="C77" s="3" t="n"/>
      <x:c r="D77" s="3" t="n"/>
      <x:c r="E77" s="3" t="n"/>
      <x:c r="F77" s="3" t="n"/>
      <x:c r="G77" s="3" t="n"/>
      <x:c r="H77" s="3" t="n"/>
      <x:c r="I77" s="3" t="n"/>
      <x:c r="J77" s="3" t="n"/>
      <x:c r="K77" s="3" t="n"/>
      <x:c r="L77" s="3" t="n"/>
      <x:c r="M77" s="3" t="n"/>
      <x:c r="N77" s="3" t="n"/>
      <x:c r="O77" s="3" t="n"/>
    </x:row>
    <x:row r="78">
      <x:c r="A78" s="8" t="n"/>
      <x:c r="B78" s="8" t="n"/>
      <x:c r="C78" s="8" t="n"/>
      <x:c r="D78" s="8" t="n"/>
      <x:c r="E78" s="8" t="n"/>
      <x:c r="F78" s="8" t="n"/>
      <x:c r="G78" s="8" t="n"/>
      <x:c r="H78" s="8" t="n"/>
      <x:c r="I78" s="8" t="n"/>
      <x:c r="J78" s="8" t="n"/>
      <x:c r="K78" s="8" t="n"/>
      <x:c r="L78" s="8" t="n"/>
      <x:c r="M78" s="8" t="n"/>
      <x:c r="N78" s="8" t="n"/>
      <x:c r="O78" s="8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</x:row>
    <x:row r="80">
      <x:c r="A80" s="8" t="n"/>
      <x:c r="B80" s="8" t="n"/>
      <x:c r="C80" s="8" t="n"/>
      <x:c r="D80" s="8" t="n"/>
      <x:c r="E80" s="8" t="n"/>
      <x:c r="F80" s="8" t="n"/>
      <x:c r="G80" s="8" t="n"/>
      <x:c r="H80" s="8" t="n"/>
      <x:c r="I80" s="8" t="n"/>
      <x:c r="J80" s="8" t="n"/>
      <x:c r="K80" s="8" t="n"/>
      <x:c r="L80" s="8" t="n"/>
      <x:c r="M80" s="8" t="n"/>
      <x:c r="N80" s="8" t="n"/>
      <x:c r="O80" s="8" t="n"/>
    </x:row>
    <x:row r="81">
      <x:c r="A81" s="3" t="n"/>
      <x:c r="B81" s="3" t="n"/>
      <x:c r="C81" s="3" t="n"/>
      <x:c r="D81" s="3" t="n"/>
      <x:c r="E81" s="3" t="n"/>
      <x:c r="F81" s="3" t="n"/>
      <x:c r="G81" s="3" t="n"/>
      <x:c r="H81" s="3" t="n"/>
      <x:c r="I81" s="3" t="n"/>
      <x:c r="J81" s="3" t="n"/>
      <x:c r="K81" s="3" t="n"/>
      <x:c r="L81" s="3" t="n"/>
      <x:c r="M81" s="3" t="n"/>
      <x:c r="N81" s="3" t="n"/>
      <x:c r="O81" s="3" t="n"/>
    </x:row>
  </x:sheetData>
  <x:dataValidations count="6">
    <x:dataValidation type="list" allowBlank="1" showDropDown="0" showInputMessage="0" showErrorMessage="0" sqref="A2:A1000">
      <x:formula1>=List_Experiment_ID</x:formula1>
    </x:dataValidation>
    <x:dataValidation type="list" allowBlank="1" showDropDown="0" showInputMessage="0" showErrorMessage="0" sqref="B2:B1000">
      <x:formula1>=List_YesNo</x:formula1>
    </x:dataValidation>
    <x:dataValidation type="list" allowBlank="1" showDropDown="0" showInputMessage="0" showErrorMessage="0" sqref="C2:C1000">
      <x:formula1>=List_Execution_Section</x:formula1>
    </x:dataValidation>
    <x:dataValidation type="list" allowBlank="1" showDropDown="0" showInputMessage="0" showErrorMessage="0" sqref="D2:D1000">
      <x:formula1>=List_Execution_Section</x:formula1>
    </x:dataValidation>
    <x:dataValidation type="list" allowBlank="1" showDropDown="0" showInputMessage="0" showErrorMessage="0" sqref="N2:N1000">
      <x:formula1>=List_Reuse_Policy</x:formula1>
    </x:dataValidation>
    <x:dataValidation type="list" allowBlank="1" showDropDown="0" showInputMessage="0" showErrorMessage="0" sqref="O2:O1000">
      <x:formula1>=List_Search_Space_ID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7edfac9ad14596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hidden="0" customWidth="1"/>
    <x:col min="2" max="2" width="10" hidden="0" customWidth="1"/>
    <x:col min="3" max="3" width="18" hidden="0" customWidth="1"/>
    <x:col min="4" max="4" width="18" hidden="0" customWidth="1"/>
    <x:col min="5" max="5" width="30" hidden="0" customWidth="1"/>
    <x:col min="6" max="6" width="18" hidden="0" customWidth="1"/>
    <x:col min="7" max="7" width="16" hidden="0" customWidth="1"/>
    <x:col min="8" max="8" width="10" hidden="0" customWidth="1"/>
    <x:col min="9" max="9" width="34" hidden="0" customWidth="1"/>
  </x:cols>
  <x:sheetData>
    <x:row r="1">
      <x:c r="A1" s="28" t="str">
        <x:v>Search Space Definitions</x:v>
      </x:c>
      <x:c r="B1" s="20"/>
      <x:c r="C1" s="20"/>
      <x:c r="D1" s="20"/>
      <x:c r="E1" s="20"/>
      <x:c r="F1" s="20"/>
      <x:c r="G1" s="20"/>
      <x:c r="H1" s="20"/>
      <x:c r="I1" s="20"/>
    </x:row>
    <x:row r="2">
      <x:c r="A2" s="26" t="str">
        <x:v>search_space_id</x:v>
      </x:c>
      <x:c r="B2" s="26" t="str">
        <x:v>enabled</x:v>
      </x:c>
      <x:c r="C2" s="26" t="str">
        <x:v>optimization_mode</x:v>
      </x:c>
      <x:c r="D2" s="26" t="str">
        <x:v>parameter_name</x:v>
      </x:c>
      <x:c r="E2" s="26" t="str">
        <x:v>parameter_values</x:v>
      </x:c>
      <x:c r="F2" s="26" t="str">
        <x:v>parameter_scope</x:v>
      </x:c>
      <x:c r="G2" s="26" t="str">
        <x:v>objective_metric</x:v>
      </x:c>
      <x:c r="H2" s="26" t="str">
        <x:v>max_trials</x:v>
      </x:c>
      <x:c r="I2" s="26" t="str">
        <x:v>notes</x:v>
      </x:c>
    </x:row>
    <x:row r="3">
      <x:c r="A3" s="22" t="str">
        <x:v>SS01</x:v>
      </x:c>
      <x:c r="B3" s="22" t="str">
        <x:v>No</x:v>
      </x:c>
      <x:c r="C3" s="22" t="str">
        <x:v>deterministic_grid</x:v>
      </x:c>
      <x:c r="D3" s="22" t="str">
        <x:v>model</x:v>
      </x:c>
      <x:c r="E3" s="22" t="str">
        <x:v>ridge|logreg|linearsvc</x:v>
      </x:c>
      <x:c r="F3" s="22" t="str">
        <x:v>parameter</x:v>
      </x:c>
      <x:c r="G3" s="22" t="str">
        <x:v>balanced_accuracy</x:v>
      </x:c>
      <x:c r="H3" s="22"/>
      <x:c r="I3" s="22" t="str">
        <x:v>Fixed model-family comparison space for E06.</x:v>
      </x:c>
    </x:row>
    <x:row r="4">
      <x:c r="A4" s="27" t="str">
        <x:v>SS02</x:v>
      </x:c>
      <x:c r="B4" s="27" t="str">
        <x:v>No</x:v>
      </x:c>
      <x:c r="C4" s="27" t="str">
        <x:v>deterministic_grid</x:v>
      </x:c>
      <x:c r="D4" s="27" t="str">
        <x:v>class_weight</x:v>
      </x:c>
      <x:c r="E4" s="27" t="str">
        <x:v>none|balanced</x:v>
      </x:c>
      <x:c r="F4" s="27" t="str">
        <x:v>parameter</x:v>
      </x:c>
      <x:c r="G4" s="27" t="str">
        <x:v>balanced_accuracy</x:v>
      </x:c>
      <x:c r="H4" s="27"/>
      <x:c r="I4" s="27" t="str">
        <x:v>Simple weighting comparison for E07.</x:v>
      </x:c>
    </x:row>
    <x:row r="5">
      <x:c r="A5" s="22" t="str">
        <x:v>SS03</x:v>
      </x:c>
      <x:c r="B5" s="22" t="str">
        <x:v>No</x:v>
      </x:c>
      <x:c r="C5" s="22" t="str">
        <x:v>grouped_nested_search</x:v>
      </x:c>
      <x:c r="D5" s="22" t="str">
        <x:v>C</x:v>
      </x:c>
      <x:c r="E5" s="22" t="str">
        <x:v>0.01|0.1|1|10</x:v>
      </x:c>
      <x:c r="F5" s="22" t="str">
        <x:v>parameter</x:v>
      </x:c>
      <x:c r="G5" s="22" t="str">
        <x:v>balanced_accuracy</x:v>
      </x:c>
      <x:c r="H5" s="22" t="str">
        <x:v>24</x:v>
      </x:c>
      <x:c r="I5" s="22" t="str">
        <x:v>Grouped nested tuning candidate for linear models in E08.</x:v>
      </x:c>
    </x:row>
    <x:row r="6">
      <x:c r="A6" s="27" t="str">
        <x:v>SS03</x:v>
      </x:c>
      <x:c r="B6" s="27" t="str">
        <x:v>No</x:v>
      </x:c>
      <x:c r="C6" s="27" t="str">
        <x:v>grouped_nested_search</x:v>
      </x:c>
      <x:c r="D6" s="27" t="str">
        <x:v>penalty</x:v>
      </x:c>
      <x:c r="E6" s="27" t="str">
        <x:v>l2</x:v>
      </x:c>
      <x:c r="F6" s="27" t="str">
        <x:v>parameter</x:v>
      </x:c>
      <x:c r="G6" s="27" t="str">
        <x:v>balanced_accuracy</x:v>
      </x:c>
      <x:c r="H6" s="27" t="str">
        <x:v>24</x:v>
      </x:c>
      <x:c r="I6" s="27" t="str">
        <x:v>Keep tuning space narrow for thesis defensibility.</x:v>
      </x:c>
    </x:row>
    <x:row r="7">
      <x:c r="A7" s="22" t="str">
        <x:v>SS04</x:v>
      </x:c>
      <x:c r="B7" s="22" t="str">
        <x:v>No</x:v>
      </x:c>
      <x:c r="C7" s="22" t="str">
        <x:v>deterministic_grid</x:v>
      </x:c>
      <x:c r="D7" s="22" t="str">
        <x:v>subset_policy</x:v>
      </x:c>
      <x:c r="E7" s="22" t="str">
        <x:v>leave_one_session_out|omit_one_session_train_pool</x:v>
      </x:c>
      <x:c r="F7" s="22" t="str">
        <x:v>parameter</x:v>
      </x:c>
      <x:c r="G7" s="22" t="str">
        <x:v>balanced_accuracy</x:v>
      </x:c>
      <x:c r="H7" s="22"/>
      <x:c r="I7" s="22" t="str">
        <x:v>Sensitivity space for E23 session-influence checks.</x:v>
      </x:c>
    </x:row>
    <x:row r="8">
      <x:c r="A8" s="27" t="n"/>
      <x:c r="B8" s="27" t="n"/>
      <x:c r="C8" s="27" t="n"/>
      <x:c r="D8" s="27" t="n"/>
      <x:c r="E8" s="27" t="n"/>
      <x:c r="F8" s="27" t="n"/>
      <x:c r="G8" s="27" t="n"/>
      <x:c r="H8" s="27" t="n"/>
      <x:c r="I8" s="27" t="n"/>
    </x:row>
    <x:row r="9">
      <x:c r="A9" s="22" t="n"/>
      <x:c r="B9" s="22" t="n"/>
      <x:c r="C9" s="22" t="n"/>
      <x:c r="D9" s="22" t="n"/>
      <x:c r="E9" s="22" t="n"/>
      <x:c r="F9" s="22" t="n"/>
      <x:c r="G9" s="22" t="n"/>
      <x:c r="H9" s="22" t="n"/>
      <x:c r="I9" s="22" t="n"/>
    </x:row>
    <x:row r="10">
      <x:c r="A10" s="27" t="n"/>
      <x:c r="B10" s="27" t="n"/>
      <x:c r="C10" s="27" t="n"/>
      <x:c r="D10" s="27" t="n"/>
      <x:c r="E10" s="27" t="n"/>
      <x:c r="F10" s="27" t="n"/>
      <x:c r="G10" s="27" t="n"/>
      <x:c r="H10" s="27" t="n"/>
      <x:c r="I10" s="27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</x:row>
  </x:sheetData>
  <x:mergeCells>
    <x:mergeCell ref="A1:I1"/>
  </x:mergeCells>
  <x:dataValidations count="3">
    <x:dataValidation type="list" allowBlank="1" showDropDown="0" showInputMessage="0" showErrorMessage="0" sqref="B3:B1000">
      <x:formula1>=List_YesNo</x:formula1>
    </x:dataValidation>
    <x:dataValidation type="list" allowBlank="1" showDropDown="0" showInputMessage="0" showErrorMessage="0" sqref="C3:C1000">
      <x:formula1>=List_Search_Optimization_Mode</x:formula1>
    </x:dataValidation>
    <x:dataValidation type="list" allowBlank="1" showDropDown="0" showInputMessage="0" showErrorMessage="0" sqref="F3:F1000">
      <x:formula1>=List_Search_Parameter_Scope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535ebfcff54f6f"/>
  </x:tableParts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24" hidden="0" customWidth="1"/>
    <x:col min="3" max="3" width="10" hidden="0" customWidth="1"/>
    <x:col min="4" max="4" width="16" hidden="0" customWidth="1"/>
    <x:col min="5" max="5" width="16" hidden="0" customWidth="1"/>
    <x:col min="6" max="6" width="28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22" hidden="0" customWidth="1"/>
    <x:col min="14" max="14" width="10" hidden="0" customWidth="1"/>
    <x:col min="15" max="15" width="12" hidden="0" customWidth="1"/>
    <x:col min="16" max="16" width="16" hidden="0" customWidth="1"/>
    <x:col min="17" max="17" width="16" hidden="0" customWidth="1"/>
    <x:col min="18" max="18" width="16" hidden="0" customWidth="1"/>
    <x:col min="19" max="19" width="12" hidden="0" customWidth="1"/>
    <x:col min="20" max="20" width="12" hidden="0" customWidth="1"/>
    <x:col min="21" max="21" width="16" hidden="0" customWidth="1"/>
    <x:col min="22" max="22" width="18" hidden="0" customWidth="1"/>
    <x:col min="23" max="23" width="32" hidden="0" customWidth="1"/>
  </x:cols>
  <x:sheetData>
    <x:row r="1" ht="136.71875" hidden="0" customHeight="1">
      <x:c r="A1" s="28" t="str">
        <x:v>Study Design (Factorial and Custom Matrices)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  <x:c r="U1" s="20"/>
      <x:c r="V1" s="20"/>
      <x:c r="W1" s="20"/>
    </x:row>
    <x:row r="2" ht="51.26953125" hidden="0" customHeight="1">
      <x:c r="A2" s="26" t="str">
        <x:v>study_id</x:v>
      </x:c>
      <x:c r="B2" s="26" t="str">
        <x:v>study_name</x:v>
      </x:c>
      <x:c r="C2" s="26" t="str">
        <x:v>enabled</x:v>
      </x:c>
      <x:c r="D2" s="26" t="str">
        <x:v>study_type</x:v>
      </x:c>
      <x:c r="E2" s="26" t="str">
        <x:v>intent</x:v>
      </x:c>
      <x:c r="F2" s="26" t="str">
        <x:v>question</x:v>
      </x:c>
      <x:c r="G2" s="26" t="str">
        <x:v>generalization_claim</x:v>
      </x:c>
      <x:c r="H2" s="26" t="str">
        <x:v>start_section</x:v>
      </x:c>
      <x:c r="I2" s="26" t="str">
        <x:v>end_section</x:v>
      </x:c>
      <x:c r="J2" s="26" t="str">
        <x:v>base_artifact_id</x:v>
      </x:c>
      <x:c r="K2" s="26" t="str">
        <x:v>primary_metric</x:v>
      </x:c>
      <x:c r="L2" s="26" t="str">
        <x:v>secondary_metrics</x:v>
      </x:c>
      <x:c r="M2" s="26" t="str">
        <x:v>cv_scheme</x:v>
      </x:c>
      <x:c r="N2" s="26" t="str">
        <x:v>nested_cv</x:v>
      </x:c>
      <x:c r="O2" s="26" t="str">
        <x:v>external_validation_planned</x:v>
      </x:c>
      <x:c r="P2" s="26" t="str">
        <x:v>blocking_strategy</x:v>
      </x:c>
      <x:c r="Q2" s="26" t="str">
        <x:v>randomization_strategy</x:v>
      </x:c>
      <x:c r="R2" s="26" t="str">
        <x:v>replication_mode</x:v>
      </x:c>
      <x:c r="S2" s="26" t="str">
        <x:v>replication_strategy</x:v>
      </x:c>
      <x:c r="T2" s="26" t="str">
        <x:v>num_repeats</x:v>
      </x:c>
      <x:c r="U2" s="26" t="str">
        <x:v>random_seed_policy</x:v>
      </x:c>
      <x:c r="V2" s="26" t="str">
        <x:v>stopping_rule</x:v>
      </x:c>
      <x:c r="W2" s="26" t="str">
        <x:v>notes</x:v>
      </x:c>
    </x:row>
    <x:row r="3" ht="85.44921875" hidden="0" customHeight="1">
      <x:c r="A3" s="22" t="str">
        <x:v>S01</x:v>
      </x:c>
      <x:c r="B3" s="22" t="str">
        <x:v>Method-lock core study</x:v>
      </x:c>
      <x:c r="C3" s="22" t="str">
        <x:v>No</x:v>
      </x:c>
      <x:c r="D3" s="22" t="str">
        <x:v>custom_matrix</x:v>
      </x:c>
      <x:c r="E3" s="22" t="str">
        <x:v>decision_support</x:v>
      </x:c>
      <x:c r="F3" s="22" t="str">
        <x:v>Which target, split, model, weighting, and tuning choices should be locked before confirmatory analysis?</x:v>
      </x:c>
      <x:c r="G3" s="22" t="str">
        <x:v>Supports only method-choice decisions for the current dataset.</x:v>
      </x:c>
      <x:c r="H3" s="22" t="str">
        <x:v>dataset_selection</x:v>
      </x:c>
      <x:c r="I3" s="22" t="str">
        <x:v>evaluation</x:v>
      </x:c>
      <x:c r="J3" s="22" t="str">
        <x:v>method_lock_v1</x:v>
      </x:c>
      <x:c r="K3" s="22" t="str">
        <x:v>balanced_accuracy</x:v>
      </x:c>
      <x:c r="L3" s="22" t="str">
        <x:v>macro_f1|accuracy|class_recall</x:v>
      </x:c>
      <x:c r="M3" s="22" t="str">
        <x:v>claim_matched_by_experiment</x:v>
      </x:c>
      <x:c r="N3" s="22" t="str">
        <x:v>No</x:v>
      </x:c>
      <x:c r="O3" s="22" t="str">
        <x:v>No</x:v>
      </x:c>
      <x:c r="P3" s="22" t="str">
        <x:v>by_subject</x:v>
      </x:c>
      <x:c r="Q3" s="22" t="str">
        <x:v>fixed_order</x:v>
      </x:c>
      <x:c r="R3" s="22" t="str">
        <x:v>fixed_repeats</x:v>
      </x:c>
      <x:c r="S3" s="22" t="str">
        <x:v>fixed_repeats</x:v>
      </x:c>
      <x:c r="T3" s="22" t="str">
        <x:v>1</x:v>
      </x:c>
      <x:c r="U3" s="22" t="str">
        <x:v>fixed</x:v>
      </x:c>
      <x:c r="V3" s="22" t="str">
        <x:v>Complete all listed method-lock cells.</x:v>
      </x:c>
      <x:c r="W3" s="22" t="str">
        <x:v>Covers E01-E08.</x:v>
      </x:c>
    </x:row>
    <x:row r="4" ht="68.359375" hidden="0" customHeight="1">
      <x:c r="A4" s="27" t="str">
        <x:v>S02</x:v>
      </x:c>
      <x:c r="B4" s="27" t="str">
        <x:v>Confirmatory within-person study</x:v>
      </x:c>
      <x:c r="C4" s="27" t="str">
        <x:v>No</x:v>
      </x:c>
      <x:c r="D4" s="27" t="str">
        <x:v>single_experiment</x:v>
      </x:c>
      <x:c r="E4" s="27" t="str">
        <x:v>confirmatory</x:v>
      </x:c>
      <x:c r="F4" s="27" t="str">
        <x:v>Does the locked pipeline generalize to unseen sessions within each participant?</x:v>
      </x:c>
      <x:c r="G4" s="27" t="str">
        <x:v>Within-person held-out-session claim only.</x:v>
      </x:c>
      <x:c r="H4" s="27" t="str">
        <x:v>dataset_selection</x:v>
      </x:c>
      <x:c r="I4" s="27" t="str">
        <x:v>evaluation</x:v>
      </x:c>
      <x:c r="J4" s="27" t="str">
        <x:v>confirm_within_v1</x:v>
      </x:c>
      <x:c r="K4" s="27" t="str">
        <x:v>balanced_accuracy</x:v>
      </x:c>
      <x:c r="L4" s="27" t="str">
        <x:v>macro_f1|accuracy|class_recall</x:v>
      </x:c>
      <x:c r="M4" s="27" t="str">
        <x:v>within_subject_loso_session</x:v>
      </x:c>
      <x:c r="N4" s="27" t="str">
        <x:v>No</x:v>
      </x:c>
      <x:c r="O4" s="27" t="str">
        <x:v>No</x:v>
      </x:c>
      <x:c r="P4" s="27" t="str">
        <x:v>by_subject</x:v>
      </x:c>
      <x:c r="Q4" s="27" t="str">
        <x:v>fixed_order</x:v>
      </x:c>
      <x:c r="R4" s="27" t="str">
        <x:v>fixed_repeats</x:v>
      </x:c>
      <x:c r="S4" s="27" t="str">
        <x:v>fixed_repeats</x:v>
      </x:c>
      <x:c r="T4" s="27" t="str">
        <x:v>1</x:v>
      </x:c>
      <x:c r="U4" s="27" t="str">
        <x:v>fixed</x:v>
      </x:c>
      <x:c r="V4" s="27" t="str">
        <x:v>Stop only after all subjects are run.</x:v>
      </x:c>
      <x:c r="W4" s="27" t="str">
        <x:v>Primary Chapter 4 result; linked to E16 plus E12-E14.</x:v>
      </x:c>
    </x:row>
    <x:row r="5" ht="85.44921875" hidden="0" customHeight="1">
      <x:c r="A5" s="22" t="str">
        <x:v>S03</x:v>
      </x:c>
      <x:c r="B5" s="22" t="str">
        <x:v>Confirmatory cross-person transfer study</x:v>
      </x:c>
      <x:c r="C5" s="22" t="str">
        <x:v>No</x:v>
      </x:c>
      <x:c r="D5" s="22" t="str">
        <x:v>single_experiment</x:v>
      </x:c>
      <x:c r="E5" s="22" t="str">
        <x:v>confirmatory</x:v>
      </x:c>
      <x:c r="F5" s="22" t="str">
        <x:v>Does the frozen mapping transfer across participants under directional train/test separation?</x:v>
      </x:c>
      <x:c r="G5" s="22" t="str">
        <x:v>Directional cross-person transfer only; not population inference.</x:v>
      </x:c>
      <x:c r="H5" s="22" t="str">
        <x:v>dataset_selection</x:v>
      </x:c>
      <x:c r="I5" s="22" t="str">
        <x:v>evaluation</x:v>
      </x:c>
      <x:c r="J5" s="22" t="str">
        <x:v>confirm_transfer_v1</x:v>
      </x:c>
      <x:c r="K5" s="22" t="str">
        <x:v>balanced_accuracy</x:v>
      </x:c>
      <x:c r="L5" s="22" t="str">
        <x:v>macro_f1|accuracy|class_recall</x:v>
      </x:c>
      <x:c r="M5" s="22" t="str">
        <x:v>frozen_cross_person_transfer</x:v>
      </x:c>
      <x:c r="N5" s="22" t="str">
        <x:v>No</x:v>
      </x:c>
      <x:c r="O5" s="22" t="str">
        <x:v>No</x:v>
      </x:c>
      <x:c r="P5" s="22" t="str">
        <x:v>by_subject_pair</x:v>
      </x:c>
      <x:c r="Q5" s="22" t="str">
        <x:v>fixed_order</x:v>
      </x:c>
      <x:c r="R5" s="22" t="str">
        <x:v>fixed_repeats</x:v>
      </x:c>
      <x:c r="S5" s="22" t="str">
        <x:v>fixed_repeats</x:v>
      </x:c>
      <x:c r="T5" s="22" t="str">
        <x:v>2</x:v>
      </x:c>
      <x:c r="U5" s="22" t="str">
        <x:v>fixed</x:v>
      </x:c>
      <x:c r="V5" s="22" t="str">
        <x:v>Run both transfer directions.</x:v>
      </x:c>
      <x:c r="W5" s="22" t="str">
        <x:v>Primary Chapter 4 transfer result; linked to E17.</x:v>
      </x:c>
    </x:row>
    <x:row r="6" ht="102.5390625" hidden="0" customHeight="1">
      <x:c r="A6" s="27" t="str">
        <x:v>S04</x:v>
      </x:c>
      <x:c r="B6" s="27" t="str">
        <x:v>Robustness extension study</x:v>
      </x:c>
      <x:c r="C6" s="27" t="str">
        <x:v>No</x:v>
      </x:c>
      <x:c r="D6" s="27" t="str">
        <x:v>custom_matrix</x:v>
      </x:c>
      <x:c r="E6" s="27" t="str">
        <x:v>robustness</x:v>
      </x:c>
      <x:c r="F6" s="27" t="str">
        <x:v>Do the main conclusions survive confound diagnostics, temporal separation, task/modality holdout, and session-influence checks?</x:v>
      </x:c>
      <x:c r="G6" s="27" t="str">
        <x:v>Supports interpretation and limitation boundaries, not the core claim by itself.</x:v>
      </x:c>
      <x:c r="H6" s="27" t="str">
        <x:v>dataset_selection</x:v>
      </x:c>
      <x:c r="I6" s="27" t="str">
        <x:v>evaluation</x:v>
      </x:c>
      <x:c r="J6" s="27" t="str">
        <x:v>robustness_pack_v1</x:v>
      </x:c>
      <x:c r="K6" s="27" t="str">
        <x:v>balanced_accuracy</x:v>
      </x:c>
      <x:c r="L6" s="27" t="str">
        <x:v>macro_f1|accuracy|stability_metrics</x:v>
      </x:c>
      <x:c r="M6" s="27" t="str">
        <x:v>experiment_specific</x:v>
      </x:c>
      <x:c r="N6" s="27" t="str">
        <x:v>No</x:v>
      </x:c>
      <x:c r="O6" s="27" t="str">
        <x:v>No</x:v>
      </x:c>
      <x:c r="P6" s="27" t="str">
        <x:v>by_subject</x:v>
      </x:c>
      <x:c r="Q6" s="27" t="str">
        <x:v>fixed_order</x:v>
      </x:c>
      <x:c r="R6" s="27" t="str">
        <x:v>fixed_repeats</x:v>
      </x:c>
      <x:c r="S6" s="27" t="str">
        <x:v>fixed_repeats</x:v>
      </x:c>
      <x:c r="T6" s="27" t="str">
        <x:v>1</x:v>
      </x:c>
      <x:c r="U6" s="27" t="str">
        <x:v>fixed</x:v>
      </x:c>
      <x:c r="V6" s="27" t="str">
        <x:v>Complete all planned robustness checks or document omissions.</x:v>
      </x:c>
      <x:c r="W6" s="27" t="str">
        <x:v>Covers E20-E23.</x:v>
      </x:c>
    </x:row>
    <x:row r="7" ht="85.44921875" hidden="0" customHeight="1">
      <x:c r="A7" s="22" t="str">
        <x:v>S05</x:v>
      </x:c>
      <x:c r="B7" s="22" t="str">
        <x:v>Reproducibility and audit study</x:v>
      </x:c>
      <x:c r="C7" s="22" t="str">
        <x:v>No</x:v>
      </x:c>
      <x:c r="D7" s="22" t="str">
        <x:v>single_experiment</x:v>
      </x:c>
      <x:c r="E7" s="22" t="str">
        <x:v>reproducibility</x:v>
      </x:c>
      <x:c r="F7" s="22" t="str">
        <x:v>Can the frozen confirmatory package be rerun deterministically with matching artifacts and summaries?</x:v>
      </x:c>
      <x:c r="G7" s="22" t="str">
        <x:v>Operational reproducibility of the locked pipeline.</x:v>
      </x:c>
      <x:c r="H7" s="22" t="str">
        <x:v>dataset_selection</x:v>
      </x:c>
      <x:c r="I7" s="22" t="str">
        <x:v>evaluation</x:v>
      </x:c>
      <x:c r="J7" s="22" t="str">
        <x:v>repro_audit_v1</x:v>
      </x:c>
      <x:c r="K7" s="22" t="str">
        <x:v>balanced_accuracy</x:v>
      </x:c>
      <x:c r="L7" s="22" t="str">
        <x:v>artifact_hash_match|summary_match</x:v>
      </x:c>
      <x:c r="M7" s="22" t="str">
        <x:v>within_subject_loso_session</x:v>
      </x:c>
      <x:c r="N7" s="22" t="str">
        <x:v>No</x:v>
      </x:c>
      <x:c r="O7" s="22" t="str">
        <x:v>No</x:v>
      </x:c>
      <x:c r="P7" s="22" t="str">
        <x:v>by_run</x:v>
      </x:c>
      <x:c r="Q7" s="22" t="str">
        <x:v>fixed_order</x:v>
      </x:c>
      <x:c r="R7" s="22" t="str">
        <x:v>fixed_repeats</x:v>
      </x:c>
      <x:c r="S7" s="22" t="str">
        <x:v>fixed_repeats</x:v>
      </x:c>
      <x:c r="T7" s="22" t="str">
        <x:v>2</x:v>
      </x:c>
      <x:c r="U7" s="22" t="str">
        <x:v>fixed</x:v>
      </x:c>
      <x:c r="V7" s="22" t="str">
        <x:v>Stop after two clean reruns are compared.</x:v>
      </x:c>
      <x:c r="W7" s="22" t="str">
        <x:v>Covers E24 and supports discussion/auditability.</x:v>
      </x:c>
    </x:row>
    <x:row r="8">
      <x:c r="A8" s="27" t="n"/>
      <x:c r="B8" s="27" t="n"/>
      <x:c r="C8" s="27" t="n"/>
      <x:c r="D8" s="27" t="n"/>
      <x:c r="E8" s="27" t="n"/>
      <x:c r="F8" s="27" t="n"/>
      <x:c r="G8" s="27" t="n"/>
      <x:c r="H8" s="27" t="n"/>
      <x:c r="I8" s="27" t="n"/>
      <x:c r="J8" s="27" t="n"/>
      <x:c r="K8" s="27" t="n"/>
      <x:c r="L8" s="27" t="n"/>
      <x:c r="M8" s="27" t="n"/>
      <x:c r="N8" s="27" t="n"/>
      <x:c r="O8" s="27" t="n"/>
      <x:c r="P8" s="27" t="n"/>
      <x:c r="Q8" s="27" t="n"/>
      <x:c r="R8" s="27" t="n"/>
      <x:c r="S8" s="27" t="n"/>
      <x:c r="T8" s="27" t="n"/>
      <x:c r="U8" s="27" t="n"/>
      <x:c r="V8" s="27" t="n"/>
      <x:c r="W8" s="27" t="n"/>
    </x:row>
    <x:row r="9">
      <x:c r="A9" s="22" t="n"/>
      <x:c r="B9" s="22" t="n"/>
      <x:c r="C9" s="22" t="n"/>
      <x:c r="D9" s="22" t="n"/>
      <x:c r="E9" s="22" t="n"/>
      <x:c r="F9" s="22" t="n"/>
      <x:c r="G9" s="22" t="n"/>
      <x:c r="H9" s="22" t="n"/>
      <x:c r="I9" s="22" t="n"/>
      <x:c r="J9" s="22" t="n"/>
      <x:c r="K9" s="22" t="n"/>
      <x:c r="L9" s="22" t="n"/>
      <x:c r="M9" s="22" t="n"/>
      <x:c r="N9" s="22" t="n"/>
      <x:c r="O9" s="22" t="n"/>
      <x:c r="P9" s="22" t="n"/>
      <x:c r="Q9" s="22" t="n"/>
      <x:c r="R9" s="22" t="n"/>
      <x:c r="S9" s="22" t="n"/>
      <x:c r="T9" s="22" t="n"/>
      <x:c r="U9" s="22" t="n"/>
      <x:c r="V9" s="22" t="n"/>
      <x:c r="W9" s="22" t="n"/>
    </x:row>
    <x:row r="10">
      <x:c r="A10" s="27" t="n"/>
      <x:c r="B10" s="27" t="n"/>
      <x:c r="C10" s="27" t="n"/>
      <x:c r="D10" s="27" t="n"/>
      <x:c r="E10" s="27" t="n"/>
      <x:c r="F10" s="27" t="n"/>
      <x:c r="G10" s="27" t="n"/>
      <x:c r="H10" s="27" t="n"/>
      <x:c r="I10" s="27" t="n"/>
      <x:c r="J10" s="27" t="n"/>
      <x:c r="K10" s="27" t="n"/>
      <x:c r="L10" s="27" t="n"/>
      <x:c r="M10" s="27" t="n"/>
      <x:c r="N10" s="27" t="n"/>
      <x:c r="O10" s="27" t="n"/>
      <x:c r="P10" s="27" t="n"/>
      <x:c r="Q10" s="27" t="n"/>
      <x:c r="R10" s="27" t="n"/>
      <x:c r="S10" s="27" t="n"/>
      <x:c r="T10" s="27" t="n"/>
      <x:c r="U10" s="27" t="n"/>
      <x:c r="V10" s="27" t="n"/>
      <x:c r="W10" s="27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  <x:c r="J12" s="8" t="n"/>
      <x:c r="K12" s="8" t="n"/>
      <x:c r="L12" s="8" t="n"/>
      <x:c r="M12" s="8" t="n"/>
      <x:c r="N12" s="8" t="n"/>
      <x:c r="O12" s="8" t="n"/>
      <x:c r="P12" s="8" t="n"/>
      <x:c r="Q12" s="8" t="n"/>
      <x:c r="R12" s="8" t="n"/>
      <x:c r="S12" s="8" t="n"/>
      <x:c r="T12" s="8" t="n"/>
      <x:c r="U12" s="8" t="n"/>
      <x:c r="V12" s="8" t="n"/>
      <x:c r="W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  <x:c r="J14" s="8" t="n"/>
      <x:c r="K14" s="8" t="n"/>
      <x:c r="L14" s="8" t="n"/>
      <x:c r="M14" s="8" t="n"/>
      <x:c r="N14" s="8" t="n"/>
      <x:c r="O14" s="8" t="n"/>
      <x:c r="P14" s="8" t="n"/>
      <x:c r="Q14" s="8" t="n"/>
      <x:c r="R14" s="8" t="n"/>
      <x:c r="S14" s="8" t="n"/>
      <x:c r="T14" s="8" t="n"/>
      <x:c r="U14" s="8" t="n"/>
      <x:c r="V14" s="8" t="n"/>
      <x:c r="W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  <x:c r="K16" s="8" t="n"/>
      <x:c r="L16" s="8" t="n"/>
      <x:c r="M16" s="8" t="n"/>
      <x:c r="N16" s="8" t="n"/>
      <x:c r="O16" s="8" t="n"/>
      <x:c r="P16" s="8" t="n"/>
      <x:c r="Q16" s="8" t="n"/>
      <x:c r="R16" s="8" t="n"/>
      <x:c r="S16" s="8" t="n"/>
      <x:c r="T16" s="8" t="n"/>
      <x:c r="U16" s="8" t="n"/>
      <x:c r="V16" s="8" t="n"/>
      <x:c r="W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  <x:c r="K18" s="8" t="n"/>
      <x:c r="L18" s="8" t="n"/>
      <x:c r="M18" s="8" t="n"/>
      <x:c r="N18" s="8" t="n"/>
      <x:c r="O18" s="8" t="n"/>
      <x:c r="P18" s="8" t="n"/>
      <x:c r="Q18" s="8" t="n"/>
      <x:c r="R18" s="8" t="n"/>
      <x:c r="S18" s="8" t="n"/>
      <x:c r="T18" s="8" t="n"/>
      <x:c r="U18" s="8" t="n"/>
      <x:c r="V18" s="8" t="n"/>
      <x:c r="W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  <x:c r="K20" s="8" t="n"/>
      <x:c r="L20" s="8" t="n"/>
      <x:c r="M20" s="8" t="n"/>
      <x:c r="N20" s="8" t="n"/>
      <x:c r="O20" s="8" t="n"/>
      <x:c r="P20" s="8" t="n"/>
      <x:c r="Q20" s="8" t="n"/>
      <x:c r="R20" s="8" t="n"/>
      <x:c r="S20" s="8" t="n"/>
      <x:c r="T20" s="8" t="n"/>
      <x:c r="U20" s="8" t="n"/>
      <x:c r="V20" s="8" t="n"/>
      <x:c r="W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  <x:c r="K22" s="8" t="n"/>
      <x:c r="L22" s="8" t="n"/>
      <x:c r="M22" s="8" t="n"/>
      <x:c r="N22" s="8" t="n"/>
      <x:c r="O22" s="8" t="n"/>
      <x:c r="P22" s="8" t="n"/>
      <x:c r="Q22" s="8" t="n"/>
      <x:c r="R22" s="8" t="n"/>
      <x:c r="S22" s="8" t="n"/>
      <x:c r="T22" s="8" t="n"/>
      <x:c r="U22" s="8" t="n"/>
      <x:c r="V22" s="8" t="n"/>
      <x:c r="W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  <x:c r="K24" s="8" t="n"/>
      <x:c r="L24" s="8" t="n"/>
      <x:c r="M24" s="8" t="n"/>
      <x:c r="N24" s="8" t="n"/>
      <x:c r="O24" s="8" t="n"/>
      <x:c r="P24" s="8" t="n"/>
      <x:c r="Q24" s="8" t="n"/>
      <x:c r="R24" s="8" t="n"/>
      <x:c r="S24" s="8" t="n"/>
      <x:c r="T24" s="8" t="n"/>
      <x:c r="U24" s="8" t="n"/>
      <x:c r="V24" s="8" t="n"/>
      <x:c r="W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  <x:c r="O25" s="3" t="n"/>
      <x:c r="P25" s="3" t="n"/>
      <x:c r="Q25" s="3" t="n"/>
      <x:c r="R25" s="3" t="n"/>
      <x:c r="S25" s="3" t="n"/>
      <x:c r="T25" s="3" t="n"/>
      <x:c r="U25" s="3" t="n"/>
      <x:c r="V25" s="3" t="n"/>
      <x:c r="W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  <x:c r="K26" s="8" t="n"/>
      <x:c r="L26" s="8" t="n"/>
      <x:c r="M26" s="8" t="n"/>
      <x:c r="N26" s="8" t="n"/>
      <x:c r="O26" s="8" t="n"/>
      <x:c r="P26" s="8" t="n"/>
      <x:c r="Q26" s="8" t="n"/>
      <x:c r="R26" s="8" t="n"/>
      <x:c r="S26" s="8" t="n"/>
      <x:c r="T26" s="8" t="n"/>
      <x:c r="U26" s="8" t="n"/>
      <x:c r="V26" s="8" t="n"/>
      <x:c r="W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  <x:c r="O27" s="3" t="n"/>
      <x:c r="P27" s="3" t="n"/>
      <x:c r="Q27" s="3" t="n"/>
      <x:c r="R27" s="3" t="n"/>
      <x:c r="S27" s="3" t="n"/>
      <x:c r="T27" s="3" t="n"/>
      <x:c r="U27" s="3" t="n"/>
      <x:c r="V27" s="3" t="n"/>
      <x:c r="W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  <x:c r="K28" s="8" t="n"/>
      <x:c r="L28" s="8" t="n"/>
      <x:c r="M28" s="8" t="n"/>
      <x:c r="N28" s="8" t="n"/>
      <x:c r="O28" s="8" t="n"/>
      <x:c r="P28" s="8" t="n"/>
      <x:c r="Q28" s="8" t="n"/>
      <x:c r="R28" s="8" t="n"/>
      <x:c r="S28" s="8" t="n"/>
      <x:c r="T28" s="8" t="n"/>
      <x:c r="U28" s="8" t="n"/>
      <x:c r="V28" s="8" t="n"/>
      <x:c r="W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  <x:c r="K30" s="8" t="n"/>
      <x:c r="L30" s="8" t="n"/>
      <x:c r="M30" s="8" t="n"/>
      <x:c r="N30" s="8" t="n"/>
      <x:c r="O30" s="8" t="n"/>
      <x:c r="P30" s="8" t="n"/>
      <x:c r="Q30" s="8" t="n"/>
      <x:c r="R30" s="8" t="n"/>
      <x:c r="S30" s="8" t="n"/>
      <x:c r="T30" s="8" t="n"/>
      <x:c r="U30" s="8" t="n"/>
      <x:c r="V30" s="8" t="n"/>
      <x:c r="W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  <x:c r="O31" s="3" t="n"/>
      <x:c r="P31" s="3" t="n"/>
      <x:c r="Q31" s="3" t="n"/>
      <x:c r="R31" s="3" t="n"/>
      <x:c r="S31" s="3" t="n"/>
      <x:c r="T31" s="3" t="n"/>
      <x:c r="U31" s="3" t="n"/>
      <x:c r="V31" s="3" t="n"/>
      <x:c r="W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  <x:c r="K32" s="8" t="n"/>
      <x:c r="L32" s="8" t="n"/>
      <x:c r="M32" s="8" t="n"/>
      <x:c r="N32" s="8" t="n"/>
      <x:c r="O32" s="8" t="n"/>
      <x:c r="P32" s="8" t="n"/>
      <x:c r="Q32" s="8" t="n"/>
      <x:c r="R32" s="8" t="n"/>
      <x:c r="S32" s="8" t="n"/>
      <x:c r="T32" s="8" t="n"/>
      <x:c r="U32" s="8" t="n"/>
      <x:c r="V32" s="8" t="n"/>
      <x:c r="W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  <x:c r="O33" s="3" t="n"/>
      <x:c r="P33" s="3" t="n"/>
      <x:c r="Q33" s="3" t="n"/>
      <x:c r="R33" s="3" t="n"/>
      <x:c r="S33" s="3" t="n"/>
      <x:c r="T33" s="3" t="n"/>
      <x:c r="U33" s="3" t="n"/>
      <x:c r="V33" s="3" t="n"/>
      <x:c r="W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  <x:c r="K34" s="8" t="n"/>
      <x:c r="L34" s="8" t="n"/>
      <x:c r="M34" s="8" t="n"/>
      <x:c r="N34" s="8" t="n"/>
      <x:c r="O34" s="8" t="n"/>
      <x:c r="P34" s="8" t="n"/>
      <x:c r="Q34" s="8" t="n"/>
      <x:c r="R34" s="8" t="n"/>
      <x:c r="S34" s="8" t="n"/>
      <x:c r="T34" s="8" t="n"/>
      <x:c r="U34" s="8" t="n"/>
      <x:c r="V34" s="8" t="n"/>
      <x:c r="W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  <x:c r="O35" s="3" t="n"/>
      <x:c r="P35" s="3" t="n"/>
      <x:c r="Q35" s="3" t="n"/>
      <x:c r="R35" s="3" t="n"/>
      <x:c r="S35" s="3" t="n"/>
      <x:c r="T35" s="3" t="n"/>
      <x:c r="U35" s="3" t="n"/>
      <x:c r="V35" s="3" t="n"/>
      <x:c r="W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  <x:c r="K36" s="8" t="n"/>
      <x:c r="L36" s="8" t="n"/>
      <x:c r="M36" s="8" t="n"/>
      <x:c r="N36" s="8" t="n"/>
      <x:c r="O36" s="8" t="n"/>
      <x:c r="P36" s="8" t="n"/>
      <x:c r="Q36" s="8" t="n"/>
      <x:c r="R36" s="8" t="n"/>
      <x:c r="S36" s="8" t="n"/>
      <x:c r="T36" s="8" t="n"/>
      <x:c r="U36" s="8" t="n"/>
      <x:c r="V36" s="8" t="n"/>
      <x:c r="W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  <x:c r="O37" s="3" t="n"/>
      <x:c r="P37" s="3" t="n"/>
      <x:c r="Q37" s="3" t="n"/>
      <x:c r="R37" s="3" t="n"/>
      <x:c r="S37" s="3" t="n"/>
      <x:c r="T37" s="3" t="n"/>
      <x:c r="U37" s="3" t="n"/>
      <x:c r="V37" s="3" t="n"/>
      <x:c r="W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  <x:c r="K38" s="8" t="n"/>
      <x:c r="L38" s="8" t="n"/>
      <x:c r="M38" s="8" t="n"/>
      <x:c r="N38" s="8" t="n"/>
      <x:c r="O38" s="8" t="n"/>
      <x:c r="P38" s="8" t="n"/>
      <x:c r="Q38" s="8" t="n"/>
      <x:c r="R38" s="8" t="n"/>
      <x:c r="S38" s="8" t="n"/>
      <x:c r="T38" s="8" t="n"/>
      <x:c r="U38" s="8" t="n"/>
      <x:c r="V38" s="8" t="n"/>
      <x:c r="W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  <x:c r="O39" s="3" t="n"/>
      <x:c r="P39" s="3" t="n"/>
      <x:c r="Q39" s="3" t="n"/>
      <x:c r="R39" s="3" t="n"/>
      <x:c r="S39" s="3" t="n"/>
      <x:c r="T39" s="3" t="n"/>
      <x:c r="U39" s="3" t="n"/>
      <x:c r="V39" s="3" t="n"/>
      <x:c r="W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  <x:c r="K40" s="8" t="n"/>
      <x:c r="L40" s="8" t="n"/>
      <x:c r="M40" s="8" t="n"/>
      <x:c r="N40" s="8" t="n"/>
      <x:c r="O40" s="8" t="n"/>
      <x:c r="P40" s="8" t="n"/>
      <x:c r="Q40" s="8" t="n"/>
      <x:c r="R40" s="8" t="n"/>
      <x:c r="S40" s="8" t="n"/>
      <x:c r="T40" s="8" t="n"/>
      <x:c r="U40" s="8" t="n"/>
      <x:c r="V40" s="8" t="n"/>
      <x:c r="W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  <x:c r="O41" s="3" t="n"/>
      <x:c r="P41" s="3" t="n"/>
      <x:c r="Q41" s="3" t="n"/>
      <x:c r="R41" s="3" t="n"/>
      <x:c r="S41" s="3" t="n"/>
      <x:c r="T41" s="3" t="n"/>
      <x:c r="U41" s="3" t="n"/>
      <x:c r="V41" s="3" t="n"/>
      <x:c r="W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  <x:c r="J42" s="8" t="n"/>
      <x:c r="K42" s="8" t="n"/>
      <x:c r="L42" s="8" t="n"/>
      <x:c r="M42" s="8" t="n"/>
      <x:c r="N42" s="8" t="n"/>
      <x:c r="O42" s="8" t="n"/>
      <x:c r="P42" s="8" t="n"/>
      <x:c r="Q42" s="8" t="n"/>
      <x:c r="R42" s="8" t="n"/>
      <x:c r="S42" s="8" t="n"/>
      <x:c r="T42" s="8" t="n"/>
      <x:c r="U42" s="8" t="n"/>
      <x:c r="V42" s="8" t="n"/>
      <x:c r="W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  <x:c r="K43" s="3" t="n"/>
      <x:c r="L43" s="3" t="n"/>
      <x:c r="M43" s="3" t="n"/>
      <x:c r="N43" s="3" t="n"/>
      <x:c r="O43" s="3" t="n"/>
      <x:c r="P43" s="3" t="n"/>
      <x:c r="Q43" s="3" t="n"/>
      <x:c r="R43" s="3" t="n"/>
      <x:c r="S43" s="3" t="n"/>
      <x:c r="T43" s="3" t="n"/>
      <x:c r="U43" s="3" t="n"/>
      <x:c r="V43" s="3" t="n"/>
      <x:c r="W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  <x:c r="J44" s="8" t="n"/>
      <x:c r="K44" s="8" t="n"/>
      <x:c r="L44" s="8" t="n"/>
      <x:c r="M44" s="8" t="n"/>
      <x:c r="N44" s="8" t="n"/>
      <x:c r="O44" s="8" t="n"/>
      <x:c r="P44" s="8" t="n"/>
      <x:c r="Q44" s="8" t="n"/>
      <x:c r="R44" s="8" t="n"/>
      <x:c r="S44" s="8" t="n"/>
      <x:c r="T44" s="8" t="n"/>
      <x:c r="U44" s="8" t="n"/>
      <x:c r="V44" s="8" t="n"/>
      <x:c r="W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  <x:c r="K45" s="3" t="n"/>
      <x:c r="L45" s="3" t="n"/>
      <x:c r="M45" s="3" t="n"/>
      <x:c r="N45" s="3" t="n"/>
      <x:c r="O45" s="3" t="n"/>
      <x:c r="P45" s="3" t="n"/>
      <x:c r="Q45" s="3" t="n"/>
      <x:c r="R45" s="3" t="n"/>
      <x:c r="S45" s="3" t="n"/>
      <x:c r="T45" s="3" t="n"/>
      <x:c r="U45" s="3" t="n"/>
      <x:c r="V45" s="3" t="n"/>
      <x:c r="W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  <x:c r="J46" s="8" t="n"/>
      <x:c r="K46" s="8" t="n"/>
      <x:c r="L46" s="8" t="n"/>
      <x:c r="M46" s="8" t="n"/>
      <x:c r="N46" s="8" t="n"/>
      <x:c r="O46" s="8" t="n"/>
      <x:c r="P46" s="8" t="n"/>
      <x:c r="Q46" s="8" t="n"/>
      <x:c r="R46" s="8" t="n"/>
      <x:c r="S46" s="8" t="n"/>
      <x:c r="T46" s="8" t="n"/>
      <x:c r="U46" s="8" t="n"/>
      <x:c r="V46" s="8" t="n"/>
      <x:c r="W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  <x:c r="K47" s="3" t="n"/>
      <x:c r="L47" s="3" t="n"/>
      <x:c r="M47" s="3" t="n"/>
      <x:c r="N47" s="3" t="n"/>
      <x:c r="O47" s="3" t="n"/>
      <x:c r="P47" s="3" t="n"/>
      <x:c r="Q47" s="3" t="n"/>
      <x:c r="R47" s="3" t="n"/>
      <x:c r="S47" s="3" t="n"/>
      <x:c r="T47" s="3" t="n"/>
      <x:c r="U47" s="3" t="n"/>
      <x:c r="V47" s="3" t="n"/>
      <x:c r="W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  <x:c r="J48" s="8" t="n"/>
      <x:c r="K48" s="8" t="n"/>
      <x:c r="L48" s="8" t="n"/>
      <x:c r="M48" s="8" t="n"/>
      <x:c r="N48" s="8" t="n"/>
      <x:c r="O48" s="8" t="n"/>
      <x:c r="P48" s="8" t="n"/>
      <x:c r="Q48" s="8" t="n"/>
      <x:c r="R48" s="8" t="n"/>
      <x:c r="S48" s="8" t="n"/>
      <x:c r="T48" s="8" t="n"/>
      <x:c r="U48" s="8" t="n"/>
      <x:c r="V48" s="8" t="n"/>
      <x:c r="W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  <x:c r="K49" s="3" t="n"/>
      <x:c r="L49" s="3" t="n"/>
      <x:c r="M49" s="3" t="n"/>
      <x:c r="N49" s="3" t="n"/>
      <x:c r="O49" s="3" t="n"/>
      <x:c r="P49" s="3" t="n"/>
      <x:c r="Q49" s="3" t="n"/>
      <x:c r="R49" s="3" t="n"/>
      <x:c r="S49" s="3" t="n"/>
      <x:c r="T49" s="3" t="n"/>
      <x:c r="U49" s="3" t="n"/>
      <x:c r="V49" s="3" t="n"/>
      <x:c r="W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  <x:c r="K50" s="8" t="n"/>
      <x:c r="L50" s="8" t="n"/>
      <x:c r="M50" s="8" t="n"/>
      <x:c r="N50" s="8" t="n"/>
      <x:c r="O50" s="8" t="n"/>
      <x:c r="P50" s="8" t="n"/>
      <x:c r="Q50" s="8" t="n"/>
      <x:c r="R50" s="8" t="n"/>
      <x:c r="S50" s="8" t="n"/>
      <x:c r="T50" s="8" t="n"/>
      <x:c r="U50" s="8" t="n"/>
      <x:c r="V50" s="8" t="n"/>
      <x:c r="W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  <x:c r="K51" s="3" t="n"/>
      <x:c r="L51" s="3" t="n"/>
      <x:c r="M51" s="3" t="n"/>
      <x:c r="N51" s="3" t="n"/>
      <x:c r="O51" s="3" t="n"/>
      <x:c r="P51" s="3" t="n"/>
      <x:c r="Q51" s="3" t="n"/>
      <x:c r="R51" s="3" t="n"/>
      <x:c r="S51" s="3" t="n"/>
      <x:c r="T51" s="3" t="n"/>
      <x:c r="U51" s="3" t="n"/>
      <x:c r="V51" s="3" t="n"/>
      <x:c r="W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  <x:c r="K52" s="8" t="n"/>
      <x:c r="L52" s="8" t="n"/>
      <x:c r="M52" s="8" t="n"/>
      <x:c r="N52" s="8" t="n"/>
      <x:c r="O52" s="8" t="n"/>
      <x:c r="P52" s="8" t="n"/>
      <x:c r="Q52" s="8" t="n"/>
      <x:c r="R52" s="8" t="n"/>
      <x:c r="S52" s="8" t="n"/>
      <x:c r="T52" s="8" t="n"/>
      <x:c r="U52" s="8" t="n"/>
      <x:c r="V52" s="8" t="n"/>
      <x:c r="W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  <x:c r="K53" s="3" t="n"/>
      <x:c r="L53" s="3" t="n"/>
      <x:c r="M53" s="3" t="n"/>
      <x:c r="N53" s="3" t="n"/>
      <x:c r="O53" s="3" t="n"/>
      <x:c r="P53" s="3" t="n"/>
      <x:c r="Q53" s="3" t="n"/>
      <x:c r="R53" s="3" t="n"/>
      <x:c r="S53" s="3" t="n"/>
      <x:c r="T53" s="3" t="n"/>
      <x:c r="U53" s="3" t="n"/>
      <x:c r="V53" s="3" t="n"/>
      <x:c r="W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  <x:c r="K54" s="8" t="n"/>
      <x:c r="L54" s="8" t="n"/>
      <x:c r="M54" s="8" t="n"/>
      <x:c r="N54" s="8" t="n"/>
      <x:c r="O54" s="8" t="n"/>
      <x:c r="P54" s="8" t="n"/>
      <x:c r="Q54" s="8" t="n"/>
      <x:c r="R54" s="8" t="n"/>
      <x:c r="S54" s="8" t="n"/>
      <x:c r="T54" s="8" t="n"/>
      <x:c r="U54" s="8" t="n"/>
      <x:c r="V54" s="8" t="n"/>
      <x:c r="W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  <x:c r="K55" s="3" t="n"/>
      <x:c r="L55" s="3" t="n"/>
      <x:c r="M55" s="3" t="n"/>
      <x:c r="N55" s="3" t="n"/>
      <x:c r="O55" s="3" t="n"/>
      <x:c r="P55" s="3" t="n"/>
      <x:c r="Q55" s="3" t="n"/>
      <x:c r="R55" s="3" t="n"/>
      <x:c r="S55" s="3" t="n"/>
      <x:c r="T55" s="3" t="n"/>
      <x:c r="U55" s="3" t="n"/>
      <x:c r="V55" s="3" t="n"/>
      <x:c r="W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  <x:c r="K56" s="8" t="n"/>
      <x:c r="L56" s="8" t="n"/>
      <x:c r="M56" s="8" t="n"/>
      <x:c r="N56" s="8" t="n"/>
      <x:c r="O56" s="8" t="n"/>
      <x:c r="P56" s="8" t="n"/>
      <x:c r="Q56" s="8" t="n"/>
      <x:c r="R56" s="8" t="n"/>
      <x:c r="S56" s="8" t="n"/>
      <x:c r="T56" s="8" t="n"/>
      <x:c r="U56" s="8" t="n"/>
      <x:c r="V56" s="8" t="n"/>
      <x:c r="W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  <x:c r="K57" s="3" t="n"/>
      <x:c r="L57" s="3" t="n"/>
      <x:c r="M57" s="3" t="n"/>
      <x:c r="N57" s="3" t="n"/>
      <x:c r="O57" s="3" t="n"/>
      <x:c r="P57" s="3" t="n"/>
      <x:c r="Q57" s="3" t="n"/>
      <x:c r="R57" s="3" t="n"/>
      <x:c r="S57" s="3" t="n"/>
      <x:c r="T57" s="3" t="n"/>
      <x:c r="U57" s="3" t="n"/>
      <x:c r="V57" s="3" t="n"/>
      <x:c r="W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  <x:c r="K58" s="8" t="n"/>
      <x:c r="L58" s="8" t="n"/>
      <x:c r="M58" s="8" t="n"/>
      <x:c r="N58" s="8" t="n"/>
      <x:c r="O58" s="8" t="n"/>
      <x:c r="P58" s="8" t="n"/>
      <x:c r="Q58" s="8" t="n"/>
      <x:c r="R58" s="8" t="n"/>
      <x:c r="S58" s="8" t="n"/>
      <x:c r="T58" s="8" t="n"/>
      <x:c r="U58" s="8" t="n"/>
      <x:c r="V58" s="8" t="n"/>
      <x:c r="W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  <x:c r="K60" s="8" t="n"/>
      <x:c r="L60" s="8" t="n"/>
      <x:c r="M60" s="8" t="n"/>
      <x:c r="N60" s="8" t="n"/>
      <x:c r="O60" s="8" t="n"/>
      <x:c r="P60" s="8" t="n"/>
      <x:c r="Q60" s="8" t="n"/>
      <x:c r="R60" s="8" t="n"/>
      <x:c r="S60" s="8" t="n"/>
      <x:c r="T60" s="8" t="n"/>
      <x:c r="U60" s="8" t="n"/>
      <x:c r="V60" s="8" t="n"/>
      <x:c r="W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</x:row>
  </x:sheetData>
  <x:mergeCells>
    <x:mergeCell ref="A1:W1"/>
  </x:mergeCells>
  <x:dataValidations count="12">
    <x:dataValidation type="list" allowBlank="1" showDropDown="0" showInputMessage="0" showErrorMessage="0" sqref="C3:C1000">
      <x:formula1>=List_YesNo</x:formula1>
    </x:dataValidation>
    <x:dataValidation type="list" allowBlank="1" showDropDown="0" showInputMessage="0" showErrorMessage="0" sqref="D3:D1000">
      <x:formula1>=List_Study_Type</x:formula1>
    </x:dataValidation>
    <x:dataValidation type="list" allowBlank="1" showDropDown="0" showInputMessage="0" showErrorMessage="0" sqref="E3:E1000">
      <x:formula1>=List_Study_Intent</x:formula1>
    </x:dataValidation>
    <x:dataValidation type="list" allowBlank="1" showDropDown="0" showInputMessage="0" showErrorMessage="0" sqref="H3:H1000">
      <x:formula1>=List_Execution_Section</x:formula1>
    </x:dataValidation>
    <x:dataValidation type="list" allowBlank="1" showDropDown="0" showInputMessage="0" showErrorMessage="0" sqref="I3:I1000">
      <x:formula1>=List_Execution_Section</x:formula1>
    </x:dataValidation>
    <x:dataValidation type="list" allowBlank="1" showDropDown="0" showInputMessage="0" showErrorMessage="0" sqref="R3:R1000">
      <x:formula1>=List_Replication_Mode</x:formula1>
    </x:dataValidation>
    <x:dataValidation type="list" allowBlank="1" showDropDown="0" showInputMessage="0" showErrorMessage="0" sqref="N3:N1000">
      <x:formula1>=List_YesNo</x:formula1>
    </x:dataValidation>
    <x:dataValidation type="list" allowBlank="1" showDropDown="0" showInputMessage="0" showErrorMessage="0" sqref="O3:O1000">
      <x:formula1>=List_YesNo</x:formula1>
    </x:dataValidation>
    <x:dataValidation type="list" allowBlank="1" showDropDown="0" showInputMessage="0" showErrorMessage="0" sqref="P3:P1000">
      <x:formula1>=List_Blocking_Strategy</x:formula1>
    </x:dataValidation>
    <x:dataValidation type="list" allowBlank="1" showDropDown="0" showInputMessage="0" showErrorMessage="0" sqref="Q3:Q1000">
      <x:formula1>=List_Randomization_Strategy</x:formula1>
    </x:dataValidation>
    <x:dataValidation type="list" allowBlank="1" showDropDown="0" showInputMessage="0" showErrorMessage="0" sqref="S3:S1000">
      <x:formula1>=List_Replication_Strategy</x:formula1>
    </x:dataValidation>
    <x:dataValidation type="list" allowBlank="1" showDropDown="0" showInputMessage="0" showErrorMessage="0" sqref="U3:U1000">
      <x:formula1>=List_Random_Seed_Policy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cca5d08eb74dcd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40" hidden="0" customWidth="1"/>
  </x:cols>
  <x:sheetData>
    <x:row r="1">
      <x:c r="A1" s="28" t="str">
        <x:v>Study Rigor Checklist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</x:row>
    <x:row r="2">
      <x:c r="A2" s="26" t="str">
        <x:v>study_id</x:v>
      </x:c>
      <x:c r="B2" s="26" t="str">
        <x:v>leakage_risk_reviewed</x:v>
      </x:c>
      <x:c r="C2" s="26" t="str">
        <x:v>deployment_boundary_defined</x:v>
      </x:c>
      <x:c r="D2" s="26" t="str">
        <x:v>unit_of_analysis_defined</x:v>
      </x:c>
      <x:c r="E2" s="26" t="str">
        <x:v>data_hierarchy_defined</x:v>
      </x:c>
      <x:c r="F2" s="26" t="str">
        <x:v>missing_data_plan</x:v>
      </x:c>
      <x:c r="G2" s="26" t="str">
        <x:v>class_imbalance_plan</x:v>
      </x:c>
      <x:c r="H2" s="26" t="str">
        <x:v>subgroup_plan</x:v>
      </x:c>
      <x:c r="I2" s="26" t="str">
        <x:v>fairness_or_applicability_notes</x:v>
      </x:c>
      <x:c r="J2" s="26" t="str">
        <x:v>reporting_checklist_completed</x:v>
      </x:c>
      <x:c r="K2" s="26" t="str">
        <x:v>risk_of_bias_reviewed</x:v>
      </x:c>
      <x:c r="L2" s="26" t="str">
        <x:v>confirmatory_lock_applied</x:v>
      </x:c>
      <x:c r="M2" s="26" t="str">
        <x:v>analysis_notes</x:v>
      </x:c>
    </x:row>
    <x:row r="3">
      <x:c r="A3" s="22" t="str">
        <x:v>S01</x:v>
      </x:c>
      <x:c r="B3" s="22" t="str">
        <x:v>Yes</x:v>
      </x:c>
      <x:c r="C3" s="22" t="str">
        <x:v>Yes</x:v>
      </x:c>
      <x:c r="D3" s="22" t="str">
        <x:v>Yes</x:v>
      </x:c>
      <x:c r="E3" s="22" t="str">
        <x:v>Yes</x:v>
      </x:c>
      <x:c r="F3" s="22" t="str">
        <x:v>Yes</x:v>
      </x:c>
      <x:c r="G3" s="22" t="str">
        <x:v>Yes</x:v>
      </x:c>
      <x:c r="H3" s="22" t="str">
        <x:v>Yes</x:v>
      </x:c>
      <x:c r="I3" s="22" t="str">
        <x:v>Method-lock work should not be presented as final performance evidence.</x:v>
      </x:c>
      <x:c r="J3" s="22" t="str">
        <x:v>No</x:v>
      </x:c>
      <x:c r="K3" s="22" t="str">
        <x:v>Yes</x:v>
      </x:c>
      <x:c r="L3" s="22" t="str">
        <x:v>No</x:v>
      </x:c>
      <x:c r="M3" s="22" t="str">
        <x:v>Use only for design locking.</x:v>
      </x:c>
    </x:row>
    <x:row r="4">
      <x:c r="A4" s="27" t="str">
        <x:v>S02</x:v>
      </x:c>
      <x:c r="B4" s="27" t="str">
        <x:v>Yes</x:v>
      </x:c>
      <x:c r="C4" s="27" t="str">
        <x:v>Yes</x:v>
      </x:c>
      <x:c r="D4" s="27" t="str">
        <x:v>Yes</x:v>
      </x:c>
      <x:c r="E4" s="27" t="str">
        <x:v>Yes</x:v>
      </x:c>
      <x:c r="F4" s="27" t="str">
        <x:v>Yes</x:v>
      </x:c>
      <x:c r="G4" s="27" t="str">
        <x:v>Yes</x:v>
      </x:c>
      <x:c r="H4" s="27" t="str">
        <x:v>Yes</x:v>
      </x:c>
      <x:c r="I4" s="27" t="str">
        <x:v>Within-person results remain participant-specific and split-specific.</x:v>
      </x:c>
      <x:c r="J4" s="27" t="str">
        <x:v>No</x:v>
      </x:c>
      <x:c r="K4" s="27" t="str">
        <x:v>Yes</x:v>
      </x:c>
      <x:c r="L4" s="27" t="str">
        <x:v>Yes</x:v>
      </x:c>
      <x:c r="M4" s="27" t="str">
        <x:v>Primary confirmatory study.</x:v>
      </x:c>
    </x:row>
    <x:row r="5">
      <x:c r="A5" s="22" t="str">
        <x:v>S03</x:v>
      </x:c>
      <x:c r="B5" s="22" t="str">
        <x:v>Yes</x:v>
      </x:c>
      <x:c r="C5" s="22" t="str">
        <x:v>Yes</x:v>
      </x:c>
      <x:c r="D5" s="22" t="str">
        <x:v>Yes</x:v>
      </x:c>
      <x:c r="E5" s="22" t="str">
        <x:v>Yes</x:v>
      </x:c>
      <x:c r="F5" s="22" t="str">
        <x:v>Yes</x:v>
      </x:c>
      <x:c r="G5" s="22" t="str">
        <x:v>Yes</x:v>
      </x:c>
      <x:c r="H5" s="22" t="str">
        <x:v>Yes</x:v>
      </x:c>
      <x:c r="I5" s="22" t="str">
        <x:v>Cross-person transfer is a domain-shift test, not a population claim.</x:v>
      </x:c>
      <x:c r="J5" s="22" t="str">
        <x:v>No</x:v>
      </x:c>
      <x:c r="K5" s="22" t="str">
        <x:v>Yes</x:v>
      </x:c>
      <x:c r="L5" s="22" t="str">
        <x:v>Yes</x:v>
      </x:c>
      <x:c r="M5" s="22" t="str">
        <x:v>Directional transfer only.</x:v>
      </x:c>
    </x:row>
    <x:row r="6">
      <x:c r="A6" s="27" t="str">
        <x:v>S04</x:v>
      </x:c>
      <x:c r="B6" s="27" t="str">
        <x:v>Yes</x:v>
      </x:c>
      <x:c r="C6" s="27" t="str">
        <x:v>Yes</x:v>
      </x:c>
      <x:c r="D6" s="27" t="str">
        <x:v>Yes</x:v>
      </x:c>
      <x:c r="E6" s="27" t="str">
        <x:v>Yes</x:v>
      </x:c>
      <x:c r="F6" s="27" t="str">
        <x:v>Yes</x:v>
      </x:c>
      <x:c r="G6" s="27" t="str">
        <x:v>Yes</x:v>
      </x:c>
      <x:c r="H6" s="27" t="str">
        <x:v>Yes</x:v>
      </x:c>
      <x:c r="I6" s="27" t="str">
        <x:v>Robustness checks challenge interpretation rather than replace primary evidence.</x:v>
      </x:c>
      <x:c r="J6" s="27" t="str">
        <x:v>No</x:v>
      </x:c>
      <x:c r="K6" s="27" t="str">
        <x:v>Yes</x:v>
      </x:c>
      <x:c r="L6" s="27" t="str">
        <x:v>Yes</x:v>
      </x:c>
      <x:c r="M6" s="27" t="str">
        <x:v>Document omitted checks explicitly.</x:v>
      </x:c>
    </x:row>
    <x:row r="7">
      <x:c r="A7" s="22" t="str">
        <x:v>S05</x:v>
      </x:c>
      <x:c r="B7" s="22" t="str">
        <x:v>Yes</x:v>
      </x:c>
      <x:c r="C7" s="22" t="str">
        <x:v>Yes</x:v>
      </x:c>
      <x:c r="D7" s="22" t="str">
        <x:v>Yes</x:v>
      </x:c>
      <x:c r="E7" s="22" t="str">
        <x:v>Yes</x:v>
      </x:c>
      <x:c r="F7" s="22" t="str">
        <x:v>Yes</x:v>
      </x:c>
      <x:c r="G7" s="22" t="str">
        <x:v>Yes</x:v>
      </x:c>
      <x:c r="H7" s="22" t="str">
        <x:v>No</x:v>
      </x:c>
      <x:c r="I7" s="22" t="str">
        <x:v>Applies to reproducibility and software auditability rather than subgroup fairness.</x:v>
      </x:c>
      <x:c r="J7" s="22" t="str">
        <x:v>No</x:v>
      </x:c>
      <x:c r="K7" s="22" t="str">
        <x:v>Yes</x:v>
      </x:c>
      <x:c r="L7" s="22" t="str">
        <x:v>Yes</x:v>
      </x:c>
      <x:c r="M7" s="22" t="str">
        <x:v>Compare artifacts, summaries, and frozen configs.</x:v>
      </x:c>
    </x:row>
    <x:row r="8">
      <x:c r="A8" s="27" t="n"/>
      <x:c r="B8" s="27" t="n"/>
      <x:c r="C8" s="27" t="n"/>
      <x:c r="D8" s="27" t="n"/>
      <x:c r="E8" s="27" t="n"/>
      <x:c r="F8" s="27" t="n"/>
      <x:c r="G8" s="27" t="n"/>
      <x:c r="H8" s="27" t="n"/>
      <x:c r="I8" s="27" t="n"/>
      <x:c r="J8" s="27" t="n"/>
      <x:c r="K8" s="27" t="n"/>
      <x:c r="L8" s="27" t="n"/>
      <x:c r="M8" s="27" t="n"/>
    </x:row>
    <x:row r="9">
      <x:c r="A9" s="22" t="n"/>
      <x:c r="B9" s="22" t="n"/>
      <x:c r="C9" s="22" t="n"/>
      <x:c r="D9" s="22" t="n"/>
      <x:c r="E9" s="22" t="n"/>
      <x:c r="F9" s="22" t="n"/>
      <x:c r="G9" s="22" t="n"/>
      <x:c r="H9" s="22" t="n"/>
      <x:c r="I9" s="22" t="n"/>
      <x:c r="J9" s="22" t="n"/>
      <x:c r="K9" s="22" t="n"/>
      <x:c r="L9" s="22" t="n"/>
      <x:c r="M9" s="22" t="n"/>
    </x:row>
    <x:row r="10">
      <x:c r="A10" s="27" t="n"/>
      <x:c r="B10" s="27" t="n"/>
      <x:c r="C10" s="27" t="n"/>
      <x:c r="D10" s="27" t="n"/>
      <x:c r="E10" s="27" t="n"/>
      <x:c r="F10" s="27" t="n"/>
      <x:c r="G10" s="27" t="n"/>
      <x:c r="H10" s="27" t="n"/>
      <x:c r="I10" s="27" t="n"/>
      <x:c r="J10" s="27" t="n"/>
      <x:c r="K10" s="27" t="n"/>
      <x:c r="L10" s="27" t="n"/>
      <x:c r="M10" s="27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  <x:c r="K11" s="3" t="n"/>
      <x:c r="L11" s="3" t="n"/>
      <x:c r="M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  <x:c r="J12" s="8" t="n"/>
      <x:c r="K12" s="8" t="n"/>
      <x:c r="L12" s="8" t="n"/>
      <x:c r="M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  <x:c r="K13" s="3" t="n"/>
      <x:c r="L13" s="3" t="n"/>
      <x:c r="M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  <x:c r="J14" s="8" t="n"/>
      <x:c r="K14" s="8" t="n"/>
      <x:c r="L14" s="8" t="n"/>
      <x:c r="M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  <x:c r="K16" s="8" t="n"/>
      <x:c r="L16" s="8" t="n"/>
      <x:c r="M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  <x:c r="K18" s="8" t="n"/>
      <x:c r="L18" s="8" t="n"/>
      <x:c r="M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  <x:c r="K20" s="8" t="n"/>
      <x:c r="L20" s="8" t="n"/>
      <x:c r="M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  <x:c r="K22" s="8" t="n"/>
      <x:c r="L22" s="8" t="n"/>
      <x:c r="M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  <x:c r="K24" s="8" t="n"/>
      <x:c r="L24" s="8" t="n"/>
      <x:c r="M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  <x:c r="K26" s="8" t="n"/>
      <x:c r="L26" s="8" t="n"/>
      <x:c r="M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  <x:c r="K28" s="8" t="n"/>
      <x:c r="L28" s="8" t="n"/>
      <x:c r="M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  <x:c r="K30" s="8" t="n"/>
      <x:c r="L30" s="8" t="n"/>
      <x:c r="M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  <x:c r="K32" s="8" t="n"/>
      <x:c r="L32" s="8" t="n"/>
      <x:c r="M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  <x:c r="K34" s="8" t="n"/>
      <x:c r="L34" s="8" t="n"/>
      <x:c r="M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  <x:c r="K36" s="8" t="n"/>
      <x:c r="L36" s="8" t="n"/>
      <x:c r="M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  <x:c r="K38" s="8" t="n"/>
      <x:c r="L38" s="8" t="n"/>
      <x:c r="M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  <x:c r="K40" s="8" t="n"/>
      <x:c r="L40" s="8" t="n"/>
      <x:c r="M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  <x:c r="J42" s="8" t="n"/>
      <x:c r="K42" s="8" t="n"/>
      <x:c r="L42" s="8" t="n"/>
      <x:c r="M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  <x:c r="K43" s="3" t="n"/>
      <x:c r="L43" s="3" t="n"/>
      <x:c r="M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  <x:c r="J44" s="8" t="n"/>
      <x:c r="K44" s="8" t="n"/>
      <x:c r="L44" s="8" t="n"/>
      <x:c r="M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  <x:c r="K45" s="3" t="n"/>
      <x:c r="L45" s="3" t="n"/>
      <x:c r="M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  <x:c r="J46" s="8" t="n"/>
      <x:c r="K46" s="8" t="n"/>
      <x:c r="L46" s="8" t="n"/>
      <x:c r="M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  <x:c r="K47" s="3" t="n"/>
      <x:c r="L47" s="3" t="n"/>
      <x:c r="M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  <x:c r="J48" s="8" t="n"/>
      <x:c r="K48" s="8" t="n"/>
      <x:c r="L48" s="8" t="n"/>
      <x:c r="M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  <x:c r="K49" s="3" t="n"/>
      <x:c r="L49" s="3" t="n"/>
      <x:c r="M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  <x:c r="K50" s="8" t="n"/>
      <x:c r="L50" s="8" t="n"/>
      <x:c r="M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  <x:c r="K51" s="3" t="n"/>
      <x:c r="L51" s="3" t="n"/>
      <x:c r="M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  <x:c r="K52" s="8" t="n"/>
      <x:c r="L52" s="8" t="n"/>
      <x:c r="M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  <x:c r="K53" s="3" t="n"/>
      <x:c r="L53" s="3" t="n"/>
      <x:c r="M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  <x:c r="K54" s="8" t="n"/>
      <x:c r="L54" s="8" t="n"/>
      <x:c r="M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  <x:c r="K55" s="3" t="n"/>
      <x:c r="L55" s="3" t="n"/>
      <x:c r="M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  <x:c r="K56" s="8" t="n"/>
      <x:c r="L56" s="8" t="n"/>
      <x:c r="M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  <x:c r="K57" s="3" t="n"/>
      <x:c r="L57" s="3" t="n"/>
      <x:c r="M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  <x:c r="K58" s="8" t="n"/>
      <x:c r="L58" s="8" t="n"/>
      <x:c r="M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  <x:c r="K59" s="3" t="n"/>
      <x:c r="L59" s="3" t="n"/>
      <x:c r="M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  <x:c r="K60" s="8" t="n"/>
      <x:c r="L60" s="8" t="n"/>
      <x:c r="M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  <x:c r="K61" s="3" t="n"/>
      <x:c r="L61" s="3" t="n"/>
      <x:c r="M61" s="3" t="n"/>
    </x:row>
  </x:sheetData>
  <x:mergeCells>
    <x:mergeCell ref="A1:M1"/>
  </x:mergeCells>
  <x:dataValidations count="8">
    <x:dataValidation type="list" allowBlank="1" showDropDown="0" showInputMessage="0" showErrorMessage="0" sqref="A3:A1000">
      <x:formula1>=List_Study_ID</x:formula1>
    </x:dataValidation>
    <x:dataValidation type="list" allowBlank="1" showDropDown="0" showInputMessage="0" showErrorMessage="0" sqref="B3:B1000">
      <x:formula1>=List_YesNo</x:formula1>
    </x:dataValidation>
    <x:dataValidation type="list" allowBlank="1" showDropDown="0" showInputMessage="0" showErrorMessage="0" sqref="C3:C1000">
      <x:formula1>=List_YesNo</x:formula1>
    </x:dataValidation>
    <x:dataValidation type="list" allowBlank="1" showDropDown="0" showInputMessage="0" showErrorMessage="0" sqref="D3:D1000">
      <x:formula1>=List_YesNo</x:formula1>
    </x:dataValidation>
    <x:dataValidation type="list" allowBlank="1" showDropDown="0" showInputMessage="0" showErrorMessage="0" sqref="E3:E1000">
      <x:formula1>=List_YesNo</x:formula1>
    </x:dataValidation>
    <x:dataValidation type="list" allowBlank="1" showDropDown="0" showInputMessage="0" showErrorMessage="0" sqref="J3:J1000">
      <x:formula1>=List_YesNo</x:formula1>
    </x:dataValidation>
    <x:dataValidation type="list" allowBlank="1" showDropDown="0" showInputMessage="0" showErrorMessage="0" sqref="K3:K1000">
      <x:formula1>=List_YesNo</x:formula1>
    </x:dataValidation>
    <x:dataValidation type="list" allowBlank="1" showDropDown="0" showInputMessage="0" showErrorMessage="0" sqref="L3:L1000">
      <x:formula1>=List_YesNo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08f401efe541d9"/>
  </x:tableParts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2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2" hidden="0" customWidth="1"/>
    <x:col min="9" max="9" width="28" hidden="0" customWidth="1"/>
  </x:cols>
  <x:sheetData>
    <x:row r="1">
      <x:c r="A1" s="28" t="str">
        <x:v>Analysis Plan</x:v>
      </x:c>
      <x:c r="B1" s="20"/>
      <x:c r="C1" s="20"/>
      <x:c r="D1" s="20"/>
      <x:c r="E1" s="20"/>
      <x:c r="F1" s="20"/>
      <x:c r="G1" s="20"/>
      <x:c r="H1" s="20"/>
      <x:c r="I1" s="20"/>
    </x:row>
    <x:row r="2">
      <x:c r="A2" s="26" t="str">
        <x:v>study_id</x:v>
      </x:c>
      <x:c r="B2" s="26" t="str">
        <x:v>primary_contrast</x:v>
      </x:c>
      <x:c r="C2" s="26" t="str">
        <x:v>secondary_contrasts</x:v>
      </x:c>
      <x:c r="D2" s="26" t="str">
        <x:v>aggregation_level</x:v>
      </x:c>
      <x:c r="E2" s="26" t="str">
        <x:v>uncertainty_method</x:v>
      </x:c>
      <x:c r="F2" s="26" t="str">
        <x:v>multiplicity_handling</x:v>
      </x:c>
      <x:c r="G2" s="26" t="str">
        <x:v>interaction_reporting_policy</x:v>
      </x:c>
      <x:c r="H2" s="26" t="str">
        <x:v>interpretation_rules</x:v>
      </x:c>
      <x:c r="I2" s="26" t="str">
        <x:v>notes</x:v>
      </x:c>
    </x:row>
    <x:row r="3">
      <x:c r="A3" s="22" t="str">
        <x:v>S01</x:v>
      </x:c>
      <x:c r="B3" s="22" t="str">
        <x:v>Compare decision options within the same split/subject context.</x:v>
      </x:c>
      <x:c r="C3" s="22" t="str">
        <x:v>Target vs split vs model vs weighting vs tuning sensitivity summaries.</x:v>
      </x:c>
      <x:c r="D3" s="22" t="str">
        <x:v>subject and experiment</x:v>
      </x:c>
      <x:c r="E3" s="22" t="str">
        <x:v>descriptive + confidence intervals where available</x:v>
      </x:c>
      <x:c r="F3" s="22" t="str">
        <x:v>descriptive_only</x:v>
      </x:c>
      <x:c r="G3" s="22" t="str">
        <x:v>pre_specified_only</x:v>
      </x:c>
      <x:c r="H3" s="22" t="str">
        <x:v>Use only to lock decisions, not to overclaim performance.</x:v>
      </x:c>
      <x:c r="I3" s="22" t="str">
        <x:v>Supports Chapter 3 method choice.</x:v>
      </x:c>
    </x:row>
    <x:row r="4">
      <x:c r="A4" s="27" t="str">
        <x:v>S02</x:v>
      </x:c>
      <x:c r="B4" s="27" t="str">
        <x:v>Locked model vs held-out-session performance by subject.</x:v>
      </x:c>
      <x:c r="C4" s="27" t="str">
        <x:v>Permutation support, trivial baseline support, explanation stability.</x:v>
      </x:c>
      <x:c r="D4" s="27" t="str">
        <x:v>subject then pooled descriptive summary</x:v>
      </x:c>
      <x:c r="E4" s="27" t="str">
        <x:v>confidence_interval</x:v>
      </x:c>
      <x:c r="F4" s="27" t="str">
        <x:v>none</x:v>
      </x:c>
      <x:c r="G4" s="27" t="str">
        <x:v>pre_specified_only</x:v>
      </x:c>
      <x:c r="H4" s="27" t="str">
        <x:v>Interpret within-person only and under exact split logic.</x:v>
      </x:c>
      <x:c r="I4" s="27" t="str">
        <x:v>Primary Chapter 4 write-up.</x:v>
      </x:c>
    </x:row>
    <x:row r="5">
      <x:c r="A5" s="22" t="str">
        <x:v>S03</x:v>
      </x:c>
      <x:c r="B5" s="22" t="str">
        <x:v>A-&gt;B and B-&gt;A frozen transfer comparison.</x:v>
      </x:c>
      <x:c r="C5" s="22" t="str">
        <x:v>Direction asymmetry and baseline comparisons.</x:v>
      </x:c>
      <x:c r="D5" s="22" t="str">
        <x:v>direction and experiment</x:v>
      </x:c>
      <x:c r="E5" s="22" t="str">
        <x:v>confidence_interval</x:v>
      </x:c>
      <x:c r="F5" s="22" t="str">
        <x:v>none</x:v>
      </x:c>
      <x:c r="G5" s="22" t="str">
        <x:v>pre_specified_only</x:v>
      </x:c>
      <x:c r="H5" s="22" t="str">
        <x:v>Do not reframe as a population-level result.</x:v>
      </x:c>
      <x:c r="I5" s="22" t="str">
        <x:v>Secondary Chapter 4 write-up.</x:v>
      </x:c>
    </x:row>
    <x:row r="6">
      <x:c r="A6" s="27" t="str">
        <x:v>S04</x:v>
      </x:c>
      <x:c r="B6" s="27" t="str">
        <x:v>Temporal, task, modality, confound, and jackknife stress tests vs locked baseline.</x:v>
      </x:c>
      <x:c r="C6" s="27" t="str">
        <x:v>Sensitivity tables and narrative limitation statements.</x:v>
      </x:c>
      <x:c r="D6" s="27" t="str">
        <x:v>experiment and subject</x:v>
      </x:c>
      <x:c r="E6" s="27" t="str">
        <x:v>descriptive + bootstrap where feasible</x:v>
      </x:c>
      <x:c r="F6" s="27" t="str">
        <x:v>descriptive_only</x:v>
      </x:c>
      <x:c r="G6" s="27" t="str">
        <x:v>pre_specified_only</x:v>
      </x:c>
      <x:c r="H6" s="27" t="str">
        <x:v>Use to strengthen validity boundaries and discussion, not to cherry-pick better scores.</x:v>
      </x:c>
      <x:c r="I6" s="27" t="str">
        <x:v>Supports Chapter 4 robustness and Chapter 5 limitations.</x:v>
      </x:c>
    </x:row>
    <x:row r="7">
      <x:c r="A7" s="22" t="str">
        <x:v>S05</x:v>
      </x:c>
      <x:c r="B7" s="22" t="str">
        <x:v>Frozen rerun 1 vs frozen rerun 2 output agreement.</x:v>
      </x:c>
      <x:c r="C7" s="22" t="str">
        <x:v>Config hash, artifact hash, and summary-value agreement.</x:v>
      </x:c>
      <x:c r="D7" s="22" t="str">
        <x:v>run and artifact bundle</x:v>
      </x:c>
      <x:c r="E7" s="22" t="str">
        <x:v>none</x:v>
      </x:c>
      <x:c r="F7" s="22" t="str">
        <x:v>none</x:v>
      </x:c>
      <x:c r="G7" s="22" t="str">
        <x:v>not_applicable</x:v>
      </x:c>
      <x:c r="H7" s="22" t="str">
        <x:v>Operational reproducibility only.</x:v>
      </x:c>
      <x:c r="I7" s="22" t="str">
        <x:v>Appendix / methods audit support.</x:v>
      </x:c>
    </x:row>
    <x:row r="8">
      <x:c r="A8" s="27" t="n"/>
      <x:c r="B8" s="27" t="n"/>
      <x:c r="C8" s="27" t="n"/>
      <x:c r="D8" s="27" t="n"/>
      <x:c r="E8" s="27" t="n"/>
      <x:c r="F8" s="27" t="n"/>
      <x:c r="G8" s="27" t="n"/>
      <x:c r="H8" s="27" t="n"/>
      <x:c r="I8" s="27" t="n"/>
    </x:row>
    <x:row r="9">
      <x:c r="A9" s="22" t="n"/>
      <x:c r="B9" s="22" t="n"/>
      <x:c r="C9" s="22" t="n"/>
      <x:c r="D9" s="22" t="n"/>
      <x:c r="E9" s="22" t="n"/>
      <x:c r="F9" s="22" t="n"/>
      <x:c r="G9" s="22" t="n"/>
      <x:c r="H9" s="22" t="n"/>
      <x:c r="I9" s="22" t="n"/>
    </x:row>
    <x:row r="10">
      <x:c r="A10" s="27" t="n"/>
      <x:c r="B10" s="27" t="n"/>
      <x:c r="C10" s="27" t="n"/>
      <x:c r="D10" s="27" t="n"/>
      <x:c r="E10" s="27" t="n"/>
      <x:c r="F10" s="27" t="n"/>
      <x:c r="G10" s="27" t="n"/>
      <x:c r="H10" s="27" t="n"/>
      <x:c r="I10" s="27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</x:row>
  </x:sheetData>
  <x:mergeCells>
    <x:mergeCell ref="A1:I1"/>
  </x:mergeCells>
  <x:dataValidations count="5">
    <x:dataValidation type="list" allowBlank="1" showDropDown="0" showInputMessage="0" showErrorMessage="0" sqref="A3:A1000">
      <x:formula1>=List_Study_ID</x:formula1>
    </x:dataValidation>
    <x:dataValidation type="list" allowBlank="1" showDropDown="0" showInputMessage="0" showErrorMessage="0" sqref="D3:D1000">
      <x:formula1>=List_Aggregation_Level</x:formula1>
    </x:dataValidation>
    <x:dataValidation type="list" allowBlank="1" showDropDown="0" showInputMessage="0" showErrorMessage="0" sqref="E3:E1000">
      <x:formula1>=List_Uncertainty_Method</x:formula1>
    </x:dataValidation>
    <x:dataValidation type="list" allowBlank="1" showDropDown="0" showInputMessage="0" showErrorMessage="0" sqref="F3:F1000">
      <x:formula1>=List_Multiplicity_Handling</x:formula1>
    </x:dataValidation>
    <x:dataValidation type="list" allowBlank="1" showDropDown="0" showInputMessage="0" showErrorMessage="0" sqref="G3:G1000">
      <x:formula1>=List_Interaction_Reporting_Policy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530799d3824ab9"/>
  </x:tableParts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8" hidden="0" customWidth="1"/>
    <x:col min="3" max="3" width="18" hidden="0" customWidth="1"/>
    <x:col min="4" max="4" width="18" hidden="0" customWidth="1"/>
    <x:col min="5" max="5" width="14" hidden="0" customWidth="1"/>
    <x:col min="6" max="6" width="34" hidden="0" customWidth="1"/>
  </x:cols>
  <x:sheetData>
    <x:row r="1">
      <x:c r="A1" s="28" t="str">
        <x:v>Factor Definitions</x:v>
      </x:c>
      <x:c r="B1" s="20"/>
      <x:c r="C1" s="20"/>
      <x:c r="D1" s="20"/>
      <x:c r="E1" s="20"/>
      <x:c r="F1" s="20"/>
    </x:row>
    <x:row r="2">
      <x:c r="A2" s="26" t="str">
        <x:v>study_id</x:v>
      </x:c>
      <x:c r="B2" s="26" t="str">
        <x:v>factor_name</x:v>
      </x:c>
      <x:c r="C2" s="26" t="str">
        <x:v>section_name</x:v>
      </x:c>
      <x:c r="D2" s="26" t="str">
        <x:v>parameter_path</x:v>
      </x:c>
      <x:c r="E2" s="26" t="str">
        <x:v>factor_type</x:v>
      </x:c>
      <x:c r="F2" s="26" t="str">
        <x:v>levels</x:v>
      </x:c>
    </x:row>
    <x:row r="3">
      <x:c r="A3" s="22" t="str">
        <x:v>S01</x:v>
      </x:c>
      <x:c r="B3" s="22" t="str">
        <x:v>target</x:v>
      </x:c>
      <x:c r="C3" s="22" t="str">
        <x:v>dataset_selection</x:v>
      </x:c>
      <x:c r="D3" s="22" t="str">
        <x:v>target</x:v>
      </x:c>
      <x:c r="E3" s="22" t="str">
        <x:v>categorical</x:v>
      </x:c>
      <x:c r="F3" s="22" t="str">
        <x:v>coarse_affect|emotion|binary_valence_like</x:v>
      </x:c>
    </x:row>
    <x:row r="4">
      <x:c r="A4" s="27" t="str">
        <x:v>S01</x:v>
      </x:c>
      <x:c r="B4" s="27" t="str">
        <x:v>task_policy</x:v>
      </x:c>
      <x:c r="C4" s="27" t="str">
        <x:v>dataset_selection</x:v>
      </x:c>
      <x:c r="D4" s="27" t="str">
        <x:v>filter_task</x:v>
      </x:c>
      <x:c r="E4" s="27" t="str">
        <x:v>categorical</x:v>
      </x:c>
      <x:c r="F4" s="27" t="str">
        <x:v>pooled_all_tasks|task_specific_other</x:v>
      </x:c>
    </x:row>
    <x:row r="5">
      <x:c r="A5" s="22" t="str">
        <x:v>S01</x:v>
      </x:c>
      <x:c r="B5" s="22" t="str">
        <x:v>modality_policy</x:v>
      </x:c>
      <x:c r="C5" s="22" t="str">
        <x:v>dataset_selection</x:v>
      </x:c>
      <x:c r="D5" s="22" t="str">
        <x:v>filter_modality</x:v>
      </x:c>
      <x:c r="E5" s="22" t="str">
        <x:v>categorical</x:v>
      </x:c>
      <x:c r="F5" s="22" t="str">
        <x:v>pooled_all_modalities|audio_only|video_only|audiovisual_only</x:v>
      </x:c>
    </x:row>
    <x:row r="6">
      <x:c r="A6" s="27" t="str">
        <x:v>S01</x:v>
      </x:c>
      <x:c r="B6" s="27" t="str">
        <x:v>split_family</x:v>
      </x:c>
      <x:c r="C6" s="27" t="str">
        <x:v>evaluation</x:v>
      </x:c>
      <x:c r="D6" s="27" t="str">
        <x:v>cv</x:v>
      </x:c>
      <x:c r="E6" s="27" t="str">
        <x:v>categorical</x:v>
      </x:c>
      <x:c r="F6" s="27" t="str">
        <x:v>within_subject_loso_session|record_random_split|frozen_cross_person_transfer</x:v>
      </x:c>
    </x:row>
    <x:row r="7">
      <x:c r="A7" s="22" t="str">
        <x:v>S01</x:v>
      </x:c>
      <x:c r="B7" s="22" t="str">
        <x:v>model_family</x:v>
      </x:c>
      <x:c r="C7" s="22" t="str">
        <x:v>evaluation</x:v>
      </x:c>
      <x:c r="D7" s="22" t="str">
        <x:v>model</x:v>
      </x:c>
      <x:c r="E7" s="22" t="str">
        <x:v>categorical</x:v>
      </x:c>
      <x:c r="F7" s="22" t="str">
        <x:v>ridge|logreg|linearsvc</x:v>
      </x:c>
    </x:row>
    <x:row r="8">
      <x:c r="A8" s="27" t="str">
        <x:v>S01</x:v>
      </x:c>
      <x:c r="B8" s="27" t="str">
        <x:v>class_weight_policy</x:v>
      </x:c>
      <x:c r="C8" s="27" t="str">
        <x:v>evaluation</x:v>
      </x:c>
      <x:c r="D8" s="27" t="str">
        <x:v>class_weight</x:v>
      </x:c>
      <x:c r="E8" s="27" t="str">
        <x:v>categorical</x:v>
      </x:c>
      <x:c r="F8" s="27" t="str">
        <x:v>none|balanced</x:v>
      </x:c>
    </x:row>
    <x:row r="9">
      <x:c r="A9" s="22" t="str">
        <x:v>S01</x:v>
      </x:c>
      <x:c r="B9" s="22" t="str">
        <x:v>tuning_policy</x:v>
      </x:c>
      <x:c r="C9" s="22" t="str">
        <x:v>evaluation</x:v>
      </x:c>
      <x:c r="D9" s="22" t="str">
        <x:v>search_space_id</x:v>
      </x:c>
      <x:c r="E9" s="22" t="str">
        <x:v>categorical</x:v>
      </x:c>
      <x:c r="F9" s="22" t="str">
        <x:v>none|SS03</x:v>
      </x:c>
    </x:row>
    <x:row r="10">
      <x:c r="A10" s="27" t="str">
        <x:v>S04</x:v>
      </x:c>
      <x:c r="B10" s="27" t="str">
        <x:v>diagnostic_target</x:v>
      </x:c>
      <x:c r="C10" s="27" t="str">
        <x:v>dataset_selection</x:v>
      </x:c>
      <x:c r="D10" s="27" t="str">
        <x:v>target</x:v>
      </x:c>
      <x:c r="E10" s="27" t="str">
        <x:v>categorical</x:v>
      </x:c>
      <x:c r="F10" s="27" t="str">
        <x:v>coarse_affect|task|modality|session_proxy</x:v>
      </x:c>
    </x:row>
    <x:row r="11">
      <x:c r="A11" s="22" t="str">
        <x:v>S04</x:v>
      </x:c>
      <x:c r="B11" s="22" t="str">
        <x:v>temporal_window</x:v>
      </x:c>
      <x:c r="C11" s="22" t="str">
        <x:v>dataset_selection</x:v>
      </x:c>
      <x:c r="D11" s="22" t="str">
        <x:v>data_slice</x:v>
      </x:c>
      <x:c r="E11" s="22" t="str">
        <x:v>categorical</x:v>
      </x:c>
      <x:c r="F11" s="22" t="str">
        <x:v>DS06|DS07|DS09|DS10</x:v>
      </x:c>
    </x:row>
    <x:row r="12">
      <x:c r="A12" s="27" t="str">
        <x:v>S04</x:v>
      </x:c>
      <x:c r="B12" s="27" t="str">
        <x:v>held_out_task</x:v>
      </x:c>
      <x:c r="C12" s="27" t="str">
        <x:v>dataset_selection</x:v>
      </x:c>
      <x:c r="D12" s="27" t="str">
        <x:v>filter_task</x:v>
      </x:c>
      <x:c r="E12" s="27" t="str">
        <x:v>categorical</x:v>
      </x:c>
      <x:c r="F12" s="27" t="str">
        <x:v>passive|emotion|rating|imagery</x:v>
      </x:c>
    </x:row>
    <x:row r="13">
      <x:c r="A13" s="22" t="str">
        <x:v>S04</x:v>
      </x:c>
      <x:c r="B13" s="22" t="str">
        <x:v>held_out_modality</x:v>
      </x:c>
      <x:c r="C13" s="22" t="str">
        <x:v>dataset_selection</x:v>
      </x:c>
      <x:c r="D13" s="22" t="str">
        <x:v>filter_modality</x:v>
      </x:c>
      <x:c r="E13" s="22" t="str">
        <x:v>categorical</x:v>
      </x:c>
      <x:c r="F13" s="22" t="str">
        <x:v>audio_only|video_only|audiovisual_only</x:v>
      </x:c>
    </x:row>
    <x:row r="14">
      <x:c r="A14" s="27" t="str">
        <x:v>S04</x:v>
      </x:c>
      <x:c r="B14" s="27" t="str">
        <x:v>subset_policy</x:v>
      </x:c>
      <x:c r="C14" s="27" t="str">
        <x:v>dataset_selection</x:v>
      </x:c>
      <x:c r="D14" s="27" t="str">
        <x:v>data_slice</x:v>
      </x:c>
      <x:c r="E14" s="27" t="str">
        <x:v>categorical</x:v>
      </x:c>
      <x:c r="F14" s="27" t="str">
        <x:v>DS05|DS11|DS12|DS13</x:v>
      </x:c>
    </x:row>
    <x:row r="15">
      <x:c r="A15" s="22" t="str">
        <x:v>S05</x:v>
      </x:c>
      <x:c r="B15" s="22" t="str">
        <x:v>rerun_id</x:v>
      </x:c>
      <x:c r="C15" s="22" t="str">
        <x:v>evaluation</x:v>
      </x:c>
      <x:c r="D15" s="22" t="str">
        <x:v>repeat_id</x:v>
      </x:c>
      <x:c r="E15" s="22" t="str">
        <x:v>categorical</x:v>
      </x:c>
      <x:c r="F15" s="22" t="str">
        <x:v>1|2</x:v>
      </x:c>
    </x:row>
    <x:row r="16">
      <x:c r="A16" s="8" t="n"/>
      <x:c r="B16" s="8" t="n"/>
      <x:c r="C16" s="8" t="n"/>
      <x:c r="D16" s="8" t="n"/>
      <x:c r="E16" s="8" t="n"/>
      <x:c r="F16" s="8" t="n"/>
    </x:row>
    <x:row r="17">
      <x:c r="A17" s="3" t="n"/>
      <x:c r="B17" s="3" t="n"/>
      <x:c r="C17" s="3" t="n"/>
      <x:c r="D17" s="3" t="n"/>
      <x:c r="E17" s="3" t="n"/>
      <x:c r="F17" s="3" t="n"/>
    </x:row>
    <x:row r="18">
      <x:c r="A18" s="8" t="n"/>
      <x:c r="B18" s="8" t="n"/>
      <x:c r="C18" s="8" t="n"/>
      <x:c r="D18" s="8" t="n"/>
      <x:c r="E18" s="8" t="n"/>
      <x:c r="F18" s="8" t="n"/>
    </x:row>
    <x:row r="19">
      <x:c r="A19" s="3" t="n"/>
      <x:c r="B19" s="3" t="n"/>
      <x:c r="C19" s="3" t="n"/>
      <x:c r="D19" s="3" t="n"/>
      <x:c r="E19" s="3" t="n"/>
      <x:c r="F19" s="3" t="n"/>
    </x:row>
    <x:row r="20">
      <x:c r="A20" s="8" t="n"/>
      <x:c r="B20" s="8" t="n"/>
      <x:c r="C20" s="8" t="n"/>
      <x:c r="D20" s="8" t="n"/>
      <x:c r="E20" s="8" t="n"/>
      <x:c r="F20" s="8" t="n"/>
    </x:row>
    <x:row r="21">
      <x:c r="A21" s="3" t="n"/>
      <x:c r="B21" s="3" t="n"/>
      <x:c r="C21" s="3" t="n"/>
      <x:c r="D21" s="3" t="n"/>
      <x:c r="E21" s="3" t="n"/>
      <x:c r="F21" s="3" t="n"/>
    </x:row>
    <x:row r="22">
      <x:c r="A22" s="8" t="n"/>
      <x:c r="B22" s="8" t="n"/>
      <x:c r="C22" s="8" t="n"/>
      <x:c r="D22" s="8" t="n"/>
      <x:c r="E22" s="8" t="n"/>
      <x:c r="F22" s="8" t="n"/>
    </x:row>
    <x:row r="23">
      <x:c r="A23" s="3" t="n"/>
      <x:c r="B23" s="3" t="n"/>
      <x:c r="C23" s="3" t="n"/>
      <x:c r="D23" s="3" t="n"/>
      <x:c r="E23" s="3" t="n"/>
      <x:c r="F23" s="3" t="n"/>
    </x:row>
    <x:row r="24">
      <x:c r="A24" s="8" t="n"/>
      <x:c r="B24" s="8" t="n"/>
      <x:c r="C24" s="8" t="n"/>
      <x:c r="D24" s="8" t="n"/>
      <x:c r="E24" s="8" t="n"/>
      <x:c r="F24" s="8" t="n"/>
    </x:row>
    <x:row r="25">
      <x:c r="A25" s="3" t="n"/>
      <x:c r="B25" s="3" t="n"/>
      <x:c r="C25" s="3" t="n"/>
      <x:c r="D25" s="3" t="n"/>
      <x:c r="E25" s="3" t="n"/>
      <x:c r="F25" s="3" t="n"/>
    </x:row>
    <x:row r="26">
      <x:c r="A26" s="8" t="n"/>
      <x:c r="B26" s="8" t="n"/>
      <x:c r="C26" s="8" t="n"/>
      <x:c r="D26" s="8" t="n"/>
      <x:c r="E26" s="8" t="n"/>
      <x:c r="F26" s="8" t="n"/>
    </x:row>
    <x:row r="27">
      <x:c r="A27" s="3" t="n"/>
      <x:c r="B27" s="3" t="n"/>
      <x:c r="C27" s="3" t="n"/>
      <x:c r="D27" s="3" t="n"/>
      <x:c r="E27" s="3" t="n"/>
      <x:c r="F27" s="3" t="n"/>
    </x:row>
    <x:row r="28">
      <x:c r="A28" s="8" t="n"/>
      <x:c r="B28" s="8" t="n"/>
      <x:c r="C28" s="8" t="n"/>
      <x:c r="D28" s="8" t="n"/>
      <x:c r="E28" s="8" t="n"/>
      <x:c r="F28" s="8" t="n"/>
    </x:row>
    <x:row r="29">
      <x:c r="A29" s="3" t="n"/>
      <x:c r="B29" s="3" t="n"/>
      <x:c r="C29" s="3" t="n"/>
      <x:c r="D29" s="3" t="n"/>
      <x:c r="E29" s="3" t="n"/>
      <x:c r="F29" s="3" t="n"/>
    </x:row>
    <x:row r="30">
      <x:c r="A30" s="8" t="n"/>
      <x:c r="B30" s="8" t="n"/>
      <x:c r="C30" s="8" t="n"/>
      <x:c r="D30" s="8" t="n"/>
      <x:c r="E30" s="8" t="n"/>
      <x:c r="F30" s="8" t="n"/>
    </x:row>
    <x:row r="31">
      <x:c r="A31" s="3" t="n"/>
      <x:c r="B31" s="3" t="n"/>
      <x:c r="C31" s="3" t="n"/>
      <x:c r="D31" s="3" t="n"/>
      <x:c r="E31" s="3" t="n"/>
      <x:c r="F31" s="3" t="n"/>
    </x:row>
    <x:row r="32">
      <x:c r="A32" s="8" t="n"/>
      <x:c r="B32" s="8" t="n"/>
      <x:c r="C32" s="8" t="n"/>
      <x:c r="D32" s="8" t="n"/>
      <x:c r="E32" s="8" t="n"/>
      <x:c r="F32" s="8" t="n"/>
    </x:row>
    <x:row r="33">
      <x:c r="A33" s="3" t="n"/>
      <x:c r="B33" s="3" t="n"/>
      <x:c r="C33" s="3" t="n"/>
      <x:c r="D33" s="3" t="n"/>
      <x:c r="E33" s="3" t="n"/>
      <x:c r="F33" s="3" t="n"/>
    </x:row>
    <x:row r="34">
      <x:c r="A34" s="8" t="n"/>
      <x:c r="B34" s="8" t="n"/>
      <x:c r="C34" s="8" t="n"/>
      <x:c r="D34" s="8" t="n"/>
      <x:c r="E34" s="8" t="n"/>
      <x:c r="F34" s="8" t="n"/>
    </x:row>
    <x:row r="35">
      <x:c r="A35" s="3" t="n"/>
      <x:c r="B35" s="3" t="n"/>
      <x:c r="C35" s="3" t="n"/>
      <x:c r="D35" s="3" t="n"/>
      <x:c r="E35" s="3" t="n"/>
      <x:c r="F35" s="3" t="n"/>
    </x:row>
    <x:row r="36">
      <x:c r="A36" s="8" t="n"/>
      <x:c r="B36" s="8" t="n"/>
      <x:c r="C36" s="8" t="n"/>
      <x:c r="D36" s="8" t="n"/>
      <x:c r="E36" s="8" t="n"/>
      <x:c r="F36" s="8" t="n"/>
    </x:row>
    <x:row r="37">
      <x:c r="A37" s="3" t="n"/>
      <x:c r="B37" s="3" t="n"/>
      <x:c r="C37" s="3" t="n"/>
      <x:c r="D37" s="3" t="n"/>
      <x:c r="E37" s="3" t="n"/>
      <x:c r="F37" s="3" t="n"/>
    </x:row>
    <x:row r="38">
      <x:c r="A38" s="8" t="n"/>
      <x:c r="B38" s="8" t="n"/>
      <x:c r="C38" s="8" t="n"/>
      <x:c r="D38" s="8" t="n"/>
      <x:c r="E38" s="8" t="n"/>
      <x:c r="F38" s="8" t="n"/>
    </x:row>
    <x:row r="39">
      <x:c r="A39" s="3" t="n"/>
      <x:c r="B39" s="3" t="n"/>
      <x:c r="C39" s="3" t="n"/>
      <x:c r="D39" s="3" t="n"/>
      <x:c r="E39" s="3" t="n"/>
      <x:c r="F39" s="3" t="n"/>
    </x:row>
    <x:row r="40">
      <x:c r="A40" s="8" t="n"/>
      <x:c r="B40" s="8" t="n"/>
      <x:c r="C40" s="8" t="n"/>
      <x:c r="D40" s="8" t="n"/>
      <x:c r="E40" s="8" t="n"/>
      <x:c r="F40" s="8" t="n"/>
    </x:row>
    <x:row r="41">
      <x:c r="A41" s="3" t="n"/>
      <x:c r="B41" s="3" t="n"/>
      <x:c r="C41" s="3" t="n"/>
      <x:c r="D41" s="3" t="n"/>
      <x:c r="E41" s="3" t="n"/>
      <x:c r="F41" s="3" t="n"/>
    </x:row>
    <x:row r="42">
      <x:c r="A42" s="8" t="n"/>
      <x:c r="B42" s="8" t="n"/>
      <x:c r="C42" s="8" t="n"/>
      <x:c r="D42" s="8" t="n"/>
      <x:c r="E42" s="8" t="n"/>
      <x:c r="F42" s="8" t="n"/>
    </x:row>
    <x:row r="43">
      <x:c r="A43" s="3" t="n"/>
      <x:c r="B43" s="3" t="n"/>
      <x:c r="C43" s="3" t="n"/>
      <x:c r="D43" s="3" t="n"/>
      <x:c r="E43" s="3" t="n"/>
      <x:c r="F43" s="3" t="n"/>
    </x:row>
    <x:row r="44">
      <x:c r="A44" s="8" t="n"/>
      <x:c r="B44" s="8" t="n"/>
      <x:c r="C44" s="8" t="n"/>
      <x:c r="D44" s="8" t="n"/>
      <x:c r="E44" s="8" t="n"/>
      <x:c r="F44" s="8" t="n"/>
    </x:row>
    <x:row r="45">
      <x:c r="A45" s="3" t="n"/>
      <x:c r="B45" s="3" t="n"/>
      <x:c r="C45" s="3" t="n"/>
      <x:c r="D45" s="3" t="n"/>
      <x:c r="E45" s="3" t="n"/>
      <x:c r="F45" s="3" t="n"/>
    </x:row>
    <x:row r="46">
      <x:c r="A46" s="8" t="n"/>
      <x:c r="B46" s="8" t="n"/>
      <x:c r="C46" s="8" t="n"/>
      <x:c r="D46" s="8" t="n"/>
      <x:c r="E46" s="8" t="n"/>
      <x:c r="F46" s="8" t="n"/>
    </x:row>
    <x:row r="47">
      <x:c r="A47" s="3" t="n"/>
      <x:c r="B47" s="3" t="n"/>
      <x:c r="C47" s="3" t="n"/>
      <x:c r="D47" s="3" t="n"/>
      <x:c r="E47" s="3" t="n"/>
      <x:c r="F47" s="3" t="n"/>
    </x:row>
    <x:row r="48">
      <x:c r="A48" s="8" t="n"/>
      <x:c r="B48" s="8" t="n"/>
      <x:c r="C48" s="8" t="n"/>
      <x:c r="D48" s="8" t="n"/>
      <x:c r="E48" s="8" t="n"/>
      <x:c r="F48" s="8" t="n"/>
    </x:row>
    <x:row r="49">
      <x:c r="A49" s="3" t="n"/>
      <x:c r="B49" s="3" t="n"/>
      <x:c r="C49" s="3" t="n"/>
      <x:c r="D49" s="3" t="n"/>
      <x:c r="E49" s="3" t="n"/>
      <x:c r="F49" s="3" t="n"/>
    </x:row>
    <x:row r="50">
      <x:c r="A50" s="8" t="n"/>
      <x:c r="B50" s="8" t="n"/>
      <x:c r="C50" s="8" t="n"/>
      <x:c r="D50" s="8" t="n"/>
      <x:c r="E50" s="8" t="n"/>
      <x:c r="F50" s="8" t="n"/>
    </x:row>
    <x:row r="51">
      <x:c r="A51" s="3" t="n"/>
      <x:c r="B51" s="3" t="n"/>
      <x:c r="C51" s="3" t="n"/>
      <x:c r="D51" s="3" t="n"/>
      <x:c r="E51" s="3" t="n"/>
      <x:c r="F51" s="3" t="n"/>
    </x:row>
    <x:row r="52">
      <x:c r="A52" s="8" t="n"/>
      <x:c r="B52" s="8" t="n"/>
      <x:c r="C52" s="8" t="n"/>
      <x:c r="D52" s="8" t="n"/>
      <x:c r="E52" s="8" t="n"/>
      <x:c r="F52" s="8" t="n"/>
    </x:row>
    <x:row r="53">
      <x:c r="A53" s="3" t="n"/>
      <x:c r="B53" s="3" t="n"/>
      <x:c r="C53" s="3" t="n"/>
      <x:c r="D53" s="3" t="n"/>
      <x:c r="E53" s="3" t="n"/>
      <x:c r="F53" s="3" t="n"/>
    </x:row>
    <x:row r="54">
      <x:c r="A54" s="8" t="n"/>
      <x:c r="B54" s="8" t="n"/>
      <x:c r="C54" s="8" t="n"/>
      <x:c r="D54" s="8" t="n"/>
      <x:c r="E54" s="8" t="n"/>
      <x:c r="F54" s="8" t="n"/>
    </x:row>
    <x:row r="55">
      <x:c r="A55" s="3" t="n"/>
      <x:c r="B55" s="3" t="n"/>
      <x:c r="C55" s="3" t="n"/>
      <x:c r="D55" s="3" t="n"/>
      <x:c r="E55" s="3" t="n"/>
      <x:c r="F55" s="3" t="n"/>
    </x:row>
    <x:row r="56">
      <x:c r="A56" s="8" t="n"/>
      <x:c r="B56" s="8" t="n"/>
      <x:c r="C56" s="8" t="n"/>
      <x:c r="D56" s="8" t="n"/>
      <x:c r="E56" s="8" t="n"/>
      <x:c r="F56" s="8" t="n"/>
    </x:row>
    <x:row r="57">
      <x:c r="A57" s="3" t="n"/>
      <x:c r="B57" s="3" t="n"/>
      <x:c r="C57" s="3" t="n"/>
      <x:c r="D57" s="3" t="n"/>
      <x:c r="E57" s="3" t="n"/>
      <x:c r="F57" s="3" t="n"/>
    </x:row>
    <x:row r="58">
      <x:c r="A58" s="8" t="n"/>
      <x:c r="B58" s="8" t="n"/>
      <x:c r="C58" s="8" t="n"/>
      <x:c r="D58" s="8" t="n"/>
      <x:c r="E58" s="8" t="n"/>
      <x:c r="F58" s="8" t="n"/>
    </x:row>
    <x:row r="59">
      <x:c r="A59" s="3" t="n"/>
      <x:c r="B59" s="3" t="n"/>
      <x:c r="C59" s="3" t="n"/>
      <x:c r="D59" s="3" t="n"/>
      <x:c r="E59" s="3" t="n"/>
      <x:c r="F59" s="3" t="n"/>
    </x:row>
    <x:row r="60">
      <x:c r="A60" s="8" t="n"/>
      <x:c r="B60" s="8" t="n"/>
      <x:c r="C60" s="8" t="n"/>
      <x:c r="D60" s="8" t="n"/>
      <x:c r="E60" s="8" t="n"/>
      <x:c r="F60" s="8" t="n"/>
    </x:row>
    <x:row r="61">
      <x:c r="A61" s="3" t="n"/>
      <x:c r="B61" s="3" t="n"/>
      <x:c r="C61" s="3" t="n"/>
      <x:c r="D61" s="3" t="n"/>
      <x:c r="E61" s="3" t="n"/>
      <x:c r="F61" s="3" t="n"/>
    </x:row>
  </x:sheetData>
  <x:mergeCells>
    <x:mergeCell ref="A1:F1"/>
  </x:mergeCells>
  <x:dataValidations count="3">
    <x:dataValidation type="list" allowBlank="1" showDropDown="0" showInputMessage="0" showErrorMessage="0" sqref="A3:A1000">
      <x:formula1>=List_Study_ID</x:formula1>
    </x:dataValidation>
    <x:dataValidation type="list" allowBlank="1" showDropDown="0" showInputMessage="0" showErrorMessage="0" sqref="E3:E1000">
      <x:formula1>=List_Factor_Type</x:formula1>
    </x:dataValidation>
    <x:dataValidation type="list" allowBlank="1" showDropDown="0" showInputMessage="0" showErrorMessage="0" sqref="C3:C1000">
      <x:formula1>=List_Execution_Section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bfc61c3dfc41eb"/>
  </x:tableParts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24" hidden="0" customWidth="1"/>
    <x:col min="3" max="3" width="52" hidden="0" customWidth="1"/>
  </x:cols>
  <x:sheetData>
    <x:row r="1">
      <x:c r="A1" s="28" t="str">
        <x:v>Fixed Controls</x:v>
      </x:c>
      <x:c r="B1" s="20"/>
      <x:c r="C1" s="20"/>
    </x:row>
    <x:row r="2">
      <x:c r="A2" s="26" t="str">
        <x:v>study_id</x:v>
      </x:c>
      <x:c r="B2" s="26" t="str">
        <x:v>parameter_path</x:v>
      </x:c>
      <x:c r="C2" s="26" t="str">
        <x:v>value</x:v>
      </x:c>
    </x:row>
    <x:row r="3">
      <x:c r="A3" s="22" t="str">
        <x:v>S01</x:v>
      </x:c>
      <x:c r="B3" s="22" t="str">
        <x:v>dataset_index_version</x:v>
      </x:c>
      <x:c r="C3" s="22" t="str">
        <x:v>dataset_index.csv (current thesis build)</x:v>
      </x:c>
    </x:row>
    <x:row r="4">
      <x:c r="A4" s="27" t="str">
        <x:v>S01</x:v>
      </x:c>
      <x:c r="B4" s="27" t="str">
        <x:v>seed_policy</x:v>
      </x:c>
      <x:c r="C4" s="27" t="str">
        <x:v>42</x:v>
      </x:c>
    </x:row>
    <x:row r="5">
      <x:c r="A5" s="22" t="str">
        <x:v>S01</x:v>
      </x:c>
      <x:c r="B5" s="22" t="str">
        <x:v>train_only_fit_rule</x:v>
      </x:c>
      <x:c r="C5" s="22" t="str">
        <x:v>TRUE</x:v>
      </x:c>
    </x:row>
    <x:row r="6">
      <x:c r="A6" s="27" t="str">
        <x:v>S01</x:v>
      </x:c>
      <x:c r="B6" s="27" t="str">
        <x:v>primary_metric</x:v>
      </x:c>
      <x:c r="C6" s="27" t="str">
        <x:v>balanced_accuracy</x:v>
      </x:c>
    </x:row>
    <x:row r="7">
      <x:c r="A7" s="22" t="str">
        <x:v>S02</x:v>
      </x:c>
      <x:c r="B7" s="22" t="str">
        <x:v>target</x:v>
      </x:c>
      <x:c r="C7" s="22" t="str">
        <x:v>coarse_affect</x:v>
      </x:c>
    </x:row>
    <x:row r="8">
      <x:c r="A8" s="27" t="str">
        <x:v>S02</x:v>
      </x:c>
      <x:c r="B8" s="27" t="str">
        <x:v>model</x:v>
      </x:c>
      <x:c r="C8" s="27" t="str">
        <x:v>ridge</x:v>
      </x:c>
    </x:row>
    <x:row r="9">
      <x:c r="A9" s="22" t="str">
        <x:v>S02</x:v>
      </x:c>
      <x:c r="B9" s="22" t="str">
        <x:v>cv</x:v>
      </x:c>
      <x:c r="C9" s="22" t="str">
        <x:v>within_subject_loso_session</x:v>
      </x:c>
    </x:row>
    <x:row r="10">
      <x:c r="A10" s="27" t="str">
        <x:v>S03</x:v>
      </x:c>
      <x:c r="B10" s="27" t="str">
        <x:v>target</x:v>
      </x:c>
      <x:c r="C10" s="27" t="str">
        <x:v>coarse_affect</x:v>
      </x:c>
    </x:row>
    <x:row r="11">
      <x:c r="A11" s="22" t="str">
        <x:v>S03</x:v>
      </x:c>
      <x:c r="B11" s="22" t="str">
        <x:v>model</x:v>
      </x:c>
      <x:c r="C11" s="22" t="str">
        <x:v>ridge</x:v>
      </x:c>
    </x:row>
    <x:row r="12">
      <x:c r="A12" s="27" t="str">
        <x:v>S03</x:v>
      </x:c>
      <x:c r="B12" s="27" t="str">
        <x:v>cv</x:v>
      </x:c>
      <x:c r="C12" s="27" t="str">
        <x:v>frozen_cross_person_transfer</x:v>
      </x:c>
    </x:row>
    <x:row r="13">
      <x:c r="A13" s="22" t="str">
        <x:v>S04</x:v>
      </x:c>
      <x:c r="B13" s="22" t="str">
        <x:v>baseline_reference</x:v>
      </x:c>
      <x:c r="C13" s="22" t="str">
        <x:v>locked confirmatory pipeline</x:v>
      </x:c>
    </x:row>
    <x:row r="14">
      <x:c r="A14" s="27" t="str">
        <x:v>S05</x:v>
      </x:c>
      <x:c r="B14" s="27" t="str">
        <x:v>frozen_config_required</x:v>
      </x:c>
      <x:c r="C14" s="27" t="str">
        <x:v>TRUE</x:v>
      </x:c>
    </x:row>
    <x:row r="15">
      <x:c r="A15" s="3" t="n"/>
      <x:c r="B15" s="3" t="n"/>
      <x:c r="C15" s="3" t="n"/>
    </x:row>
    <x:row r="16">
      <x:c r="A16" s="8" t="n"/>
      <x:c r="B16" s="8" t="n"/>
      <x:c r="C16" s="8" t="n"/>
    </x:row>
    <x:row r="17">
      <x:c r="A17" s="3" t="n"/>
      <x:c r="B17" s="3" t="n"/>
      <x:c r="C17" s="3" t="n"/>
    </x:row>
    <x:row r="18">
      <x:c r="A18" s="8" t="n"/>
      <x:c r="B18" s="8" t="n"/>
      <x:c r="C18" s="8" t="n"/>
    </x:row>
    <x:row r="19">
      <x:c r="A19" s="3" t="n"/>
      <x:c r="B19" s="3" t="n"/>
      <x:c r="C19" s="3" t="n"/>
    </x:row>
    <x:row r="20">
      <x:c r="A20" s="8" t="n"/>
      <x:c r="B20" s="8" t="n"/>
      <x:c r="C20" s="8" t="n"/>
    </x:row>
    <x:row r="21">
      <x:c r="A21" s="3" t="n"/>
      <x:c r="B21" s="3" t="n"/>
      <x:c r="C21" s="3" t="n"/>
    </x:row>
    <x:row r="22">
      <x:c r="A22" s="8" t="n"/>
      <x:c r="B22" s="8" t="n"/>
      <x:c r="C22" s="8" t="n"/>
    </x:row>
    <x:row r="23">
      <x:c r="A23" s="3" t="n"/>
      <x:c r="B23" s="3" t="n"/>
      <x:c r="C23" s="3" t="n"/>
    </x:row>
    <x:row r="24">
      <x:c r="A24" s="8" t="n"/>
      <x:c r="B24" s="8" t="n"/>
      <x:c r="C24" s="8" t="n"/>
    </x:row>
    <x:row r="25">
      <x:c r="A25" s="3" t="n"/>
      <x:c r="B25" s="3" t="n"/>
      <x:c r="C25" s="3" t="n"/>
    </x:row>
    <x:row r="26">
      <x:c r="A26" s="8" t="n"/>
      <x:c r="B26" s="8" t="n"/>
      <x:c r="C26" s="8" t="n"/>
    </x:row>
    <x:row r="27">
      <x:c r="A27" s="3" t="n"/>
      <x:c r="B27" s="3" t="n"/>
      <x:c r="C27" s="3" t="n"/>
    </x:row>
    <x:row r="28">
      <x:c r="A28" s="8" t="n"/>
      <x:c r="B28" s="8" t="n"/>
      <x:c r="C28" s="8" t="n"/>
    </x:row>
    <x:row r="29">
      <x:c r="A29" s="3" t="n"/>
      <x:c r="B29" s="3" t="n"/>
      <x:c r="C29" s="3" t="n"/>
    </x:row>
    <x:row r="30">
      <x:c r="A30" s="8" t="n"/>
      <x:c r="B30" s="8" t="n"/>
      <x:c r="C30" s="8" t="n"/>
    </x:row>
    <x:row r="31">
      <x:c r="A31" s="3" t="n"/>
      <x:c r="B31" s="3" t="n"/>
      <x:c r="C31" s="3" t="n"/>
    </x:row>
    <x:row r="32">
      <x:c r="A32" s="8" t="n"/>
      <x:c r="B32" s="8" t="n"/>
      <x:c r="C32" s="8" t="n"/>
    </x:row>
    <x:row r="33">
      <x:c r="A33" s="3" t="n"/>
      <x:c r="B33" s="3" t="n"/>
      <x:c r="C33" s="3" t="n"/>
    </x:row>
    <x:row r="34">
      <x:c r="A34" s="8" t="n"/>
      <x:c r="B34" s="8" t="n"/>
      <x:c r="C34" s="8" t="n"/>
    </x:row>
    <x:row r="35">
      <x:c r="A35" s="3" t="n"/>
      <x:c r="B35" s="3" t="n"/>
      <x:c r="C35" s="3" t="n"/>
    </x:row>
    <x:row r="36">
      <x:c r="A36" s="8" t="n"/>
      <x:c r="B36" s="8" t="n"/>
      <x:c r="C36" s="8" t="n"/>
    </x:row>
    <x:row r="37">
      <x:c r="A37" s="3" t="n"/>
      <x:c r="B37" s="3" t="n"/>
      <x:c r="C37" s="3" t="n"/>
    </x:row>
    <x:row r="38">
      <x:c r="A38" s="8" t="n"/>
      <x:c r="B38" s="8" t="n"/>
      <x:c r="C38" s="8" t="n"/>
    </x:row>
    <x:row r="39">
      <x:c r="A39" s="3" t="n"/>
      <x:c r="B39" s="3" t="n"/>
      <x:c r="C39" s="3" t="n"/>
    </x:row>
    <x:row r="40">
      <x:c r="A40" s="8" t="n"/>
      <x:c r="B40" s="8" t="n"/>
      <x:c r="C40" s="8" t="n"/>
    </x:row>
    <x:row r="41">
      <x:c r="A41" s="3" t="n"/>
      <x:c r="B41" s="3" t="n"/>
      <x:c r="C41" s="3" t="n"/>
    </x:row>
    <x:row r="42">
      <x:c r="A42" s="8" t="n"/>
      <x:c r="B42" s="8" t="n"/>
      <x:c r="C42" s="8" t="n"/>
    </x:row>
    <x:row r="43">
      <x:c r="A43" s="3" t="n"/>
      <x:c r="B43" s="3" t="n"/>
      <x:c r="C43" s="3" t="n"/>
    </x:row>
    <x:row r="44">
      <x:c r="A44" s="8" t="n"/>
      <x:c r="B44" s="8" t="n"/>
      <x:c r="C44" s="8" t="n"/>
    </x:row>
    <x:row r="45">
      <x:c r="A45" s="3" t="n"/>
      <x:c r="B45" s="3" t="n"/>
      <x:c r="C45" s="3" t="n"/>
    </x:row>
    <x:row r="46">
      <x:c r="A46" s="8" t="n"/>
      <x:c r="B46" s="8" t="n"/>
      <x:c r="C46" s="8" t="n"/>
    </x:row>
    <x:row r="47">
      <x:c r="A47" s="3" t="n"/>
      <x:c r="B47" s="3" t="n"/>
      <x:c r="C47" s="3" t="n"/>
    </x:row>
    <x:row r="48">
      <x:c r="A48" s="8" t="n"/>
      <x:c r="B48" s="8" t="n"/>
      <x:c r="C48" s="8" t="n"/>
    </x:row>
    <x:row r="49">
      <x:c r="A49" s="3" t="n"/>
      <x:c r="B49" s="3" t="n"/>
      <x:c r="C49" s="3" t="n"/>
    </x:row>
    <x:row r="50">
      <x:c r="A50" s="8" t="n"/>
      <x:c r="B50" s="8" t="n"/>
      <x:c r="C50" s="8" t="n"/>
    </x:row>
    <x:row r="51">
      <x:c r="A51" s="3" t="n"/>
      <x:c r="B51" s="3" t="n"/>
      <x:c r="C51" s="3" t="n"/>
    </x:row>
    <x:row r="52">
      <x:c r="A52" s="8" t="n"/>
      <x:c r="B52" s="8" t="n"/>
      <x:c r="C52" s="8" t="n"/>
    </x:row>
    <x:row r="53">
      <x:c r="A53" s="3" t="n"/>
      <x:c r="B53" s="3" t="n"/>
      <x:c r="C53" s="3" t="n"/>
    </x:row>
    <x:row r="54">
      <x:c r="A54" s="8" t="n"/>
      <x:c r="B54" s="8" t="n"/>
      <x:c r="C54" s="8" t="n"/>
    </x:row>
    <x:row r="55">
      <x:c r="A55" s="3" t="n"/>
      <x:c r="B55" s="3" t="n"/>
      <x:c r="C55" s="3" t="n"/>
    </x:row>
    <x:row r="56">
      <x:c r="A56" s="8" t="n"/>
      <x:c r="B56" s="8" t="n"/>
      <x:c r="C56" s="8" t="n"/>
    </x:row>
    <x:row r="57">
      <x:c r="A57" s="3" t="n"/>
      <x:c r="B57" s="3" t="n"/>
      <x:c r="C57" s="3" t="n"/>
    </x:row>
    <x:row r="58">
      <x:c r="A58" s="8" t="n"/>
      <x:c r="B58" s="8" t="n"/>
      <x:c r="C58" s="8" t="n"/>
    </x:row>
    <x:row r="59">
      <x:c r="A59" s="3" t="n"/>
      <x:c r="B59" s="3" t="n"/>
      <x:c r="C59" s="3" t="n"/>
    </x:row>
    <x:row r="60">
      <x:c r="A60" s="8" t="n"/>
      <x:c r="B60" s="8" t="n"/>
      <x:c r="C60" s="8" t="n"/>
    </x:row>
    <x:row r="61">
      <x:c r="A61" s="3" t="n"/>
      <x:c r="B61" s="3" t="n"/>
      <x:c r="C61" s="3" t="n"/>
    </x:row>
  </x:sheetData>
  <x:mergeCells>
    <x:mergeCell ref="A1:C1"/>
  </x:mergeCells>
  <x:dataValidations count="1">
    <x:dataValidation type="list" allowBlank="1" showDropDown="0" showInputMessage="0" showErrorMessage="0" sqref="A3:A1000">
      <x:formula1>=List_Study_ID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6616788a7b433c"/>
  </x:tableParts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4" hidden="0" customWidth="1"/>
  </x:cols>
  <x:sheetData>
    <x:row r="1">
      <x:c r="A1" s="28" t="str">
        <x:v>Invalid Combination Constraints</x:v>
      </x:c>
      <x:c r="B1" s="20"/>
      <x:c r="C1" s="20"/>
      <x:c r="D1" s="20"/>
      <x:c r="E1" s="20"/>
      <x:c r="F1" s="20"/>
    </x:row>
    <x:row r="2">
      <x:c r="A2" s="26" t="str">
        <x:v>study_id</x:v>
      </x:c>
      <x:c r="B2" s="26" t="str">
        <x:v>if_factor</x:v>
      </x:c>
      <x:c r="C2" s="26" t="str">
        <x:v>if_level</x:v>
      </x:c>
      <x:c r="D2" s="26" t="str">
        <x:v>disallow_factor</x:v>
      </x:c>
      <x:c r="E2" s="26" t="str">
        <x:v>disallow_level</x:v>
      </x:c>
      <x:c r="F2" s="26" t="str">
        <x:v>reason</x:v>
      </x:c>
    </x:row>
    <x:row r="3">
      <x:c r="A3" s="22" t="str">
        <x:v>S01</x:v>
      </x:c>
      <x:c r="B3" s="22" t="str">
        <x:v>split_family</x:v>
      </x:c>
      <x:c r="C3" s="22" t="str">
        <x:v>frozen_cross_person_transfer</x:v>
      </x:c>
      <x:c r="D3" s="22" t="str">
        <x:v>subject_scope</x:v>
      </x:c>
      <x:c r="E3" s="22" t="str">
        <x:v>single_subject</x:v>
      </x:c>
      <x:c r="F3" s="22" t="str">
        <x:v>Cross-person transfer requires ordered subject pairs, not a single-subject slice.</x:v>
      </x:c>
    </x:row>
    <x:row r="4">
      <x:c r="A4" s="27" t="str">
        <x:v>S01</x:v>
      </x:c>
      <x:c r="B4" s="27" t="str">
        <x:v>task_policy</x:v>
      </x:c>
      <x:c r="C4" s="27" t="str">
        <x:v>task_specific_other</x:v>
      </x:c>
      <x:c r="D4" s="27" t="str">
        <x:v>minimum_samples_rule</x:v>
      </x:c>
      <x:c r="E4" s="27" t="str">
        <x:v>below_threshold</x:v>
      </x:c>
      <x:c r="F4" s="27" t="str">
        <x:v>Do not interpret task-specific runs without sufficient per-class counts.</x:v>
      </x:c>
    </x:row>
    <x:row r="5">
      <x:c r="A5" s="22" t="str">
        <x:v>S01</x:v>
      </x:c>
      <x:c r="B5" s="22" t="str">
        <x:v>modality_policy</x:v>
      </x:c>
      <x:c r="C5" s="22" t="str">
        <x:v>audio_only</x:v>
      </x:c>
      <x:c r="D5" s="22" t="str">
        <x:v>minimum_samples_rule</x:v>
      </x:c>
      <x:c r="E5" s="22" t="str">
        <x:v>below_threshold</x:v>
      </x:c>
      <x:c r="F5" s="22" t="str">
        <x:v>Do not interpret modality-specific runs without sufficient per-class counts.</x:v>
      </x:c>
    </x:row>
    <x:row r="6">
      <x:c r="A6" s="27" t="str">
        <x:v>S04</x:v>
      </x:c>
      <x:c r="B6" s="27" t="str">
        <x:v>diagnostic_target</x:v>
      </x:c>
      <x:c r="C6" s="27" t="str">
        <x:v>session_proxy</x:v>
      </x:c>
      <x:c r="D6" s="27" t="str">
        <x:v>interpretation_rule</x:v>
      </x:c>
      <x:c r="E6" s="27" t="str">
        <x:v>confirmatory_claim</x:v>
      </x:c>
      <x:c r="F6" s="27" t="str">
        <x:v>Session-identity diagnostics test confounds; they cannot become confirmatory target claims.</x:v>
      </x:c>
    </x:row>
    <x:row r="7">
      <x:c r="A7" s="22" t="str">
        <x:v>S04</x:v>
      </x:c>
      <x:c r="B7" s="22" t="str">
        <x:v>temporal_window</x:v>
      </x:c>
      <x:c r="C7" s="22" t="str">
        <x:v>DS09|DS10</x:v>
      </x:c>
      <x:c r="D7" s="22" t="str">
        <x:v>cv</x:v>
      </x:c>
      <x:c r="E7" s="22" t="str">
        <x:v>record_random_split</x:v>
      </x:c>
      <x:c r="F7" s="22" t="str">
        <x:v>Temporal drift analyses require explicit temporal separation, not random record splits.</x:v>
      </x:c>
    </x:row>
    <x:row r="8">
      <x:c r="A8" s="27" t="str">
        <x:v>S05</x:v>
      </x:c>
      <x:c r="B8" s="27" t="str">
        <x:v>rerun_id</x:v>
      </x:c>
      <x:c r="C8" s="27" t="str">
        <x:v>2</x:v>
      </x:c>
      <x:c r="D8" s="27" t="str">
        <x:v>frozen_config_required</x:v>
      </x:c>
      <x:c r="E8" s="27" t="str">
        <x:v>FALSE</x:v>
      </x:c>
      <x:c r="F8" s="27" t="str">
        <x:v>Rerun audit must use the same frozen configuration across both reruns.</x:v>
      </x:c>
    </x:row>
    <x:row r="9">
      <x:c r="A9" s="3" t="n"/>
      <x:c r="B9" s="3" t="n"/>
      <x:c r="C9" s="3" t="n"/>
      <x:c r="D9" s="3" t="n"/>
      <x:c r="E9" s="3" t="n"/>
      <x:c r="F9" s="3" t="n"/>
    </x:row>
    <x:row r="10">
      <x:c r="A10" s="8" t="n"/>
      <x:c r="B10" s="8" t="n"/>
      <x:c r="C10" s="8" t="n"/>
      <x:c r="D10" s="8" t="n"/>
      <x:c r="E10" s="8" t="n"/>
      <x:c r="F10" s="8" t="n"/>
    </x:row>
    <x:row r="11">
      <x:c r="A11" s="3" t="n"/>
      <x:c r="B11" s="3" t="n"/>
      <x:c r="C11" s="3" t="n"/>
      <x:c r="D11" s="3" t="n"/>
      <x:c r="E11" s="3" t="n"/>
      <x:c r="F11" s="3" t="n"/>
    </x:row>
    <x:row r="12">
      <x:c r="A12" s="8" t="n"/>
      <x:c r="B12" s="8" t="n"/>
      <x:c r="C12" s="8" t="n"/>
      <x:c r="D12" s="8" t="n"/>
      <x:c r="E12" s="8" t="n"/>
      <x:c r="F12" s="8" t="n"/>
    </x:row>
    <x:row r="13">
      <x:c r="A13" s="3" t="n"/>
      <x:c r="B13" s="3" t="n"/>
      <x:c r="C13" s="3" t="n"/>
      <x:c r="D13" s="3" t="n"/>
      <x:c r="E13" s="3" t="n"/>
      <x:c r="F13" s="3" t="n"/>
    </x:row>
    <x:row r="14">
      <x:c r="A14" s="8" t="n"/>
      <x:c r="B14" s="8" t="n"/>
      <x:c r="C14" s="8" t="n"/>
      <x:c r="D14" s="8" t="n"/>
      <x:c r="E14" s="8" t="n"/>
      <x:c r="F14" s="8" t="n"/>
    </x:row>
    <x:row r="15">
      <x:c r="A15" s="3" t="n"/>
      <x:c r="B15" s="3" t="n"/>
      <x:c r="C15" s="3" t="n"/>
      <x:c r="D15" s="3" t="n"/>
      <x:c r="E15" s="3" t="n"/>
      <x:c r="F15" s="3" t="n"/>
    </x:row>
    <x:row r="16">
      <x:c r="A16" s="8" t="n"/>
      <x:c r="B16" s="8" t="n"/>
      <x:c r="C16" s="8" t="n"/>
      <x:c r="D16" s="8" t="n"/>
      <x:c r="E16" s="8" t="n"/>
      <x:c r="F16" s="8" t="n"/>
    </x:row>
    <x:row r="17">
      <x:c r="A17" s="3" t="n"/>
      <x:c r="B17" s="3" t="n"/>
      <x:c r="C17" s="3" t="n"/>
      <x:c r="D17" s="3" t="n"/>
      <x:c r="E17" s="3" t="n"/>
      <x:c r="F17" s="3" t="n"/>
    </x:row>
    <x:row r="18">
      <x:c r="A18" s="8" t="n"/>
      <x:c r="B18" s="8" t="n"/>
      <x:c r="C18" s="8" t="n"/>
      <x:c r="D18" s="8" t="n"/>
      <x:c r="E18" s="8" t="n"/>
      <x:c r="F18" s="8" t="n"/>
    </x:row>
    <x:row r="19">
      <x:c r="A19" s="3" t="n"/>
      <x:c r="B19" s="3" t="n"/>
      <x:c r="C19" s="3" t="n"/>
      <x:c r="D19" s="3" t="n"/>
      <x:c r="E19" s="3" t="n"/>
      <x:c r="F19" s="3" t="n"/>
    </x:row>
    <x:row r="20">
      <x:c r="A20" s="8" t="n"/>
      <x:c r="B20" s="8" t="n"/>
      <x:c r="C20" s="8" t="n"/>
      <x:c r="D20" s="8" t="n"/>
      <x:c r="E20" s="8" t="n"/>
      <x:c r="F20" s="8" t="n"/>
    </x:row>
    <x:row r="21">
      <x:c r="A21" s="3" t="n"/>
      <x:c r="B21" s="3" t="n"/>
      <x:c r="C21" s="3" t="n"/>
      <x:c r="D21" s="3" t="n"/>
      <x:c r="E21" s="3" t="n"/>
      <x:c r="F21" s="3" t="n"/>
    </x:row>
    <x:row r="22">
      <x:c r="A22" s="8" t="n"/>
      <x:c r="B22" s="8" t="n"/>
      <x:c r="C22" s="8" t="n"/>
      <x:c r="D22" s="8" t="n"/>
      <x:c r="E22" s="8" t="n"/>
      <x:c r="F22" s="8" t="n"/>
    </x:row>
    <x:row r="23">
      <x:c r="A23" s="3" t="n"/>
      <x:c r="B23" s="3" t="n"/>
      <x:c r="C23" s="3" t="n"/>
      <x:c r="D23" s="3" t="n"/>
      <x:c r="E23" s="3" t="n"/>
      <x:c r="F23" s="3" t="n"/>
    </x:row>
    <x:row r="24">
      <x:c r="A24" s="8" t="n"/>
      <x:c r="B24" s="8" t="n"/>
      <x:c r="C24" s="8" t="n"/>
      <x:c r="D24" s="8" t="n"/>
      <x:c r="E24" s="8" t="n"/>
      <x:c r="F24" s="8" t="n"/>
    </x:row>
    <x:row r="25">
      <x:c r="A25" s="3" t="n"/>
      <x:c r="B25" s="3" t="n"/>
      <x:c r="C25" s="3" t="n"/>
      <x:c r="D25" s="3" t="n"/>
      <x:c r="E25" s="3" t="n"/>
      <x:c r="F25" s="3" t="n"/>
    </x:row>
    <x:row r="26">
      <x:c r="A26" s="8" t="n"/>
      <x:c r="B26" s="8" t="n"/>
      <x:c r="C26" s="8" t="n"/>
      <x:c r="D26" s="8" t="n"/>
      <x:c r="E26" s="8" t="n"/>
      <x:c r="F26" s="8" t="n"/>
    </x:row>
    <x:row r="27">
      <x:c r="A27" s="3" t="n"/>
      <x:c r="B27" s="3" t="n"/>
      <x:c r="C27" s="3" t="n"/>
      <x:c r="D27" s="3" t="n"/>
      <x:c r="E27" s="3" t="n"/>
      <x:c r="F27" s="3" t="n"/>
    </x:row>
    <x:row r="28">
      <x:c r="A28" s="8" t="n"/>
      <x:c r="B28" s="8" t="n"/>
      <x:c r="C28" s="8" t="n"/>
      <x:c r="D28" s="8" t="n"/>
      <x:c r="E28" s="8" t="n"/>
      <x:c r="F28" s="8" t="n"/>
    </x:row>
    <x:row r="29">
      <x:c r="A29" s="3" t="n"/>
      <x:c r="B29" s="3" t="n"/>
      <x:c r="C29" s="3" t="n"/>
      <x:c r="D29" s="3" t="n"/>
      <x:c r="E29" s="3" t="n"/>
      <x:c r="F29" s="3" t="n"/>
    </x:row>
    <x:row r="30">
      <x:c r="A30" s="8" t="n"/>
      <x:c r="B30" s="8" t="n"/>
      <x:c r="C30" s="8" t="n"/>
      <x:c r="D30" s="8" t="n"/>
      <x:c r="E30" s="8" t="n"/>
      <x:c r="F30" s="8" t="n"/>
    </x:row>
    <x:row r="31">
      <x:c r="A31" s="3" t="n"/>
      <x:c r="B31" s="3" t="n"/>
      <x:c r="C31" s="3" t="n"/>
      <x:c r="D31" s="3" t="n"/>
      <x:c r="E31" s="3" t="n"/>
      <x:c r="F31" s="3" t="n"/>
    </x:row>
    <x:row r="32">
      <x:c r="A32" s="8" t="n"/>
      <x:c r="B32" s="8" t="n"/>
      <x:c r="C32" s="8" t="n"/>
      <x:c r="D32" s="8" t="n"/>
      <x:c r="E32" s="8" t="n"/>
      <x:c r="F32" s="8" t="n"/>
    </x:row>
    <x:row r="33">
      <x:c r="A33" s="3" t="n"/>
      <x:c r="B33" s="3" t="n"/>
      <x:c r="C33" s="3" t="n"/>
      <x:c r="D33" s="3" t="n"/>
      <x:c r="E33" s="3" t="n"/>
      <x:c r="F33" s="3" t="n"/>
    </x:row>
    <x:row r="34">
      <x:c r="A34" s="8" t="n"/>
      <x:c r="B34" s="8" t="n"/>
      <x:c r="C34" s="8" t="n"/>
      <x:c r="D34" s="8" t="n"/>
      <x:c r="E34" s="8" t="n"/>
      <x:c r="F34" s="8" t="n"/>
    </x:row>
    <x:row r="35">
      <x:c r="A35" s="3" t="n"/>
      <x:c r="B35" s="3" t="n"/>
      <x:c r="C35" s="3" t="n"/>
      <x:c r="D35" s="3" t="n"/>
      <x:c r="E35" s="3" t="n"/>
      <x:c r="F35" s="3" t="n"/>
    </x:row>
    <x:row r="36">
      <x:c r="A36" s="8" t="n"/>
      <x:c r="B36" s="8" t="n"/>
      <x:c r="C36" s="8" t="n"/>
      <x:c r="D36" s="8" t="n"/>
      <x:c r="E36" s="8" t="n"/>
      <x:c r="F36" s="8" t="n"/>
    </x:row>
    <x:row r="37">
      <x:c r="A37" s="3" t="n"/>
      <x:c r="B37" s="3" t="n"/>
      <x:c r="C37" s="3" t="n"/>
      <x:c r="D37" s="3" t="n"/>
      <x:c r="E37" s="3" t="n"/>
      <x:c r="F37" s="3" t="n"/>
    </x:row>
    <x:row r="38">
      <x:c r="A38" s="8" t="n"/>
      <x:c r="B38" s="8" t="n"/>
      <x:c r="C38" s="8" t="n"/>
      <x:c r="D38" s="8" t="n"/>
      <x:c r="E38" s="8" t="n"/>
      <x:c r="F38" s="8" t="n"/>
    </x:row>
    <x:row r="39">
      <x:c r="A39" s="3" t="n"/>
      <x:c r="B39" s="3" t="n"/>
      <x:c r="C39" s="3" t="n"/>
      <x:c r="D39" s="3" t="n"/>
      <x:c r="E39" s="3" t="n"/>
      <x:c r="F39" s="3" t="n"/>
    </x:row>
    <x:row r="40">
      <x:c r="A40" s="8" t="n"/>
      <x:c r="B40" s="8" t="n"/>
      <x:c r="C40" s="8" t="n"/>
      <x:c r="D40" s="8" t="n"/>
      <x:c r="E40" s="8" t="n"/>
      <x:c r="F40" s="8" t="n"/>
    </x:row>
    <x:row r="41">
      <x:c r="A41" s="3" t="n"/>
      <x:c r="B41" s="3" t="n"/>
      <x:c r="C41" s="3" t="n"/>
      <x:c r="D41" s="3" t="n"/>
      <x:c r="E41" s="3" t="n"/>
      <x:c r="F41" s="3" t="n"/>
    </x:row>
    <x:row r="42">
      <x:c r="A42" s="8" t="n"/>
      <x:c r="B42" s="8" t="n"/>
      <x:c r="C42" s="8" t="n"/>
      <x:c r="D42" s="8" t="n"/>
      <x:c r="E42" s="8" t="n"/>
      <x:c r="F42" s="8" t="n"/>
    </x:row>
    <x:row r="43">
      <x:c r="A43" s="3" t="n"/>
      <x:c r="B43" s="3" t="n"/>
      <x:c r="C43" s="3" t="n"/>
      <x:c r="D43" s="3" t="n"/>
      <x:c r="E43" s="3" t="n"/>
      <x:c r="F43" s="3" t="n"/>
    </x:row>
    <x:row r="44">
      <x:c r="A44" s="8" t="n"/>
      <x:c r="B44" s="8" t="n"/>
      <x:c r="C44" s="8" t="n"/>
      <x:c r="D44" s="8" t="n"/>
      <x:c r="E44" s="8" t="n"/>
      <x:c r="F44" s="8" t="n"/>
    </x:row>
    <x:row r="45">
      <x:c r="A45" s="3" t="n"/>
      <x:c r="B45" s="3" t="n"/>
      <x:c r="C45" s="3" t="n"/>
      <x:c r="D45" s="3" t="n"/>
      <x:c r="E45" s="3" t="n"/>
      <x:c r="F45" s="3" t="n"/>
    </x:row>
    <x:row r="46">
      <x:c r="A46" s="8" t="n"/>
      <x:c r="B46" s="8" t="n"/>
      <x:c r="C46" s="8" t="n"/>
      <x:c r="D46" s="8" t="n"/>
      <x:c r="E46" s="8" t="n"/>
      <x:c r="F46" s="8" t="n"/>
    </x:row>
    <x:row r="47">
      <x:c r="A47" s="3" t="n"/>
      <x:c r="B47" s="3" t="n"/>
      <x:c r="C47" s="3" t="n"/>
      <x:c r="D47" s="3" t="n"/>
      <x:c r="E47" s="3" t="n"/>
      <x:c r="F47" s="3" t="n"/>
    </x:row>
    <x:row r="48">
      <x:c r="A48" s="8" t="n"/>
      <x:c r="B48" s="8" t="n"/>
      <x:c r="C48" s="8" t="n"/>
      <x:c r="D48" s="8" t="n"/>
      <x:c r="E48" s="8" t="n"/>
      <x:c r="F48" s="8" t="n"/>
    </x:row>
    <x:row r="49">
      <x:c r="A49" s="3" t="n"/>
      <x:c r="B49" s="3" t="n"/>
      <x:c r="C49" s="3" t="n"/>
      <x:c r="D49" s="3" t="n"/>
      <x:c r="E49" s="3" t="n"/>
      <x:c r="F49" s="3" t="n"/>
    </x:row>
    <x:row r="50">
      <x:c r="A50" s="8" t="n"/>
      <x:c r="B50" s="8" t="n"/>
      <x:c r="C50" s="8" t="n"/>
      <x:c r="D50" s="8" t="n"/>
      <x:c r="E50" s="8" t="n"/>
      <x:c r="F50" s="8" t="n"/>
    </x:row>
    <x:row r="51">
      <x:c r="A51" s="3" t="n"/>
      <x:c r="B51" s="3" t="n"/>
      <x:c r="C51" s="3" t="n"/>
      <x:c r="D51" s="3" t="n"/>
      <x:c r="E51" s="3" t="n"/>
      <x:c r="F51" s="3" t="n"/>
    </x:row>
    <x:row r="52">
      <x:c r="A52" s="8" t="n"/>
      <x:c r="B52" s="8" t="n"/>
      <x:c r="C52" s="8" t="n"/>
      <x:c r="D52" s="8" t="n"/>
      <x:c r="E52" s="8" t="n"/>
      <x:c r="F52" s="8" t="n"/>
    </x:row>
    <x:row r="53">
      <x:c r="A53" s="3" t="n"/>
      <x:c r="B53" s="3" t="n"/>
      <x:c r="C53" s="3" t="n"/>
      <x:c r="D53" s="3" t="n"/>
      <x:c r="E53" s="3" t="n"/>
      <x:c r="F53" s="3" t="n"/>
    </x:row>
    <x:row r="54">
      <x:c r="A54" s="8" t="n"/>
      <x:c r="B54" s="8" t="n"/>
      <x:c r="C54" s="8" t="n"/>
      <x:c r="D54" s="8" t="n"/>
      <x:c r="E54" s="8" t="n"/>
      <x:c r="F54" s="8" t="n"/>
    </x:row>
    <x:row r="55">
      <x:c r="A55" s="3" t="n"/>
      <x:c r="B55" s="3" t="n"/>
      <x:c r="C55" s="3" t="n"/>
      <x:c r="D55" s="3" t="n"/>
      <x:c r="E55" s="3" t="n"/>
      <x:c r="F55" s="3" t="n"/>
    </x:row>
    <x:row r="56">
      <x:c r="A56" s="8" t="n"/>
      <x:c r="B56" s="8" t="n"/>
      <x:c r="C56" s="8" t="n"/>
      <x:c r="D56" s="8" t="n"/>
      <x:c r="E56" s="8" t="n"/>
      <x:c r="F56" s="8" t="n"/>
    </x:row>
    <x:row r="57">
      <x:c r="A57" s="3" t="n"/>
      <x:c r="B57" s="3" t="n"/>
      <x:c r="C57" s="3" t="n"/>
      <x:c r="D57" s="3" t="n"/>
      <x:c r="E57" s="3" t="n"/>
      <x:c r="F57" s="3" t="n"/>
    </x:row>
    <x:row r="58">
      <x:c r="A58" s="8" t="n"/>
      <x:c r="B58" s="8" t="n"/>
      <x:c r="C58" s="8" t="n"/>
      <x:c r="D58" s="8" t="n"/>
      <x:c r="E58" s="8" t="n"/>
      <x:c r="F58" s="8" t="n"/>
    </x:row>
    <x:row r="59">
      <x:c r="A59" s="3" t="n"/>
      <x:c r="B59" s="3" t="n"/>
      <x:c r="C59" s="3" t="n"/>
      <x:c r="D59" s="3" t="n"/>
      <x:c r="E59" s="3" t="n"/>
      <x:c r="F59" s="3" t="n"/>
    </x:row>
    <x:row r="60">
      <x:c r="A60" s="8" t="n"/>
      <x:c r="B60" s="8" t="n"/>
      <x:c r="C60" s="8" t="n"/>
      <x:c r="D60" s="8" t="n"/>
      <x:c r="E60" s="8" t="n"/>
      <x:c r="F60" s="8" t="n"/>
    </x:row>
    <x:row r="61">
      <x:c r="A61" s="3" t="n"/>
      <x:c r="B61" s="3" t="n"/>
      <x:c r="C61" s="3" t="n"/>
      <x:c r="D61" s="3" t="n"/>
      <x:c r="E61" s="3" t="n"/>
      <x:c r="F61" s="3" t="n"/>
    </x:row>
  </x:sheetData>
  <x:mergeCells>
    <x:mergeCell ref="A1:F1"/>
  </x:mergeCells>
  <x:dataValidations count="1">
    <x:dataValidation type="list" allowBlank="1" showDropDown="0" showInputMessage="0" showErrorMessage="0" sqref="A3:A1000">
      <x:formula1>=List_Study_ID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90110dac6247c4"/>
  </x:tableParts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8" hidden="0" customWidth="1"/>
    <x:col min="3" max="3" width="18" hidden="0" customWidth="1"/>
    <x:col min="4" max="4" width="10" hidden="0" customWidth="1"/>
    <x:col min="5" max="5" width="10" hidden="0" customWidth="1"/>
  </x:cols>
  <x:sheetData>
    <x:row r="1">
      <x:c r="A1" s="28" t="str">
        <x:v>Blocking and Replication</x:v>
      </x:c>
      <x:c r="B1" s="20"/>
      <x:c r="C1" s="20"/>
      <x:c r="D1" s="20"/>
      <x:c r="E1" s="20"/>
    </x:row>
    <x:row r="2">
      <x:c r="A2" s="26" t="str">
        <x:v>study_id</x:v>
      </x:c>
      <x:c r="B2" s="26" t="str">
        <x:v>block_type</x:v>
      </x:c>
      <x:c r="C2" s="26" t="str">
        <x:v>block_value</x:v>
      </x:c>
      <x:c r="D2" s="26" t="str">
        <x:v>repeat_id</x:v>
      </x:c>
      <x:c r="E2" s="26" t="str">
        <x:v>seed</x:v>
      </x:c>
    </x:row>
    <x:row r="3">
      <x:c r="A3" s="22" t="str">
        <x:v>S01</x:v>
      </x:c>
      <x:c r="B3" s="22" t="str">
        <x:v>subject</x:v>
      </x:c>
      <x:c r="C3" s="22" t="str">
        <x:v>sub-001</x:v>
      </x:c>
      <x:c r="D3" s="22" t="n">
        <x:v>1</x:v>
      </x:c>
      <x:c r="E3" s="22" t="n">
        <x:v>42</x:v>
      </x:c>
    </x:row>
    <x:row r="4">
      <x:c r="A4" s="27" t="str">
        <x:v>S01</x:v>
      </x:c>
      <x:c r="B4" s="27" t="str">
        <x:v>subject</x:v>
      </x:c>
      <x:c r="C4" s="27" t="str">
        <x:v>sub-002</x:v>
      </x:c>
      <x:c r="D4" s="27" t="n">
        <x:v>1</x:v>
      </x:c>
      <x:c r="E4" s="27" t="n">
        <x:v>42</x:v>
      </x:c>
    </x:row>
    <x:row r="5">
      <x:c r="A5" s="22" t="str">
        <x:v>S02</x:v>
      </x:c>
      <x:c r="B5" s="22" t="str">
        <x:v>subject</x:v>
      </x:c>
      <x:c r="C5" s="22" t="str">
        <x:v>sub-001</x:v>
      </x:c>
      <x:c r="D5" s="22" t="n">
        <x:v>1</x:v>
      </x:c>
      <x:c r="E5" s="22" t="n">
        <x:v>42</x:v>
      </x:c>
    </x:row>
    <x:row r="6">
      <x:c r="A6" s="27" t="str">
        <x:v>S02</x:v>
      </x:c>
      <x:c r="B6" s="27" t="str">
        <x:v>subject</x:v>
      </x:c>
      <x:c r="C6" s="27" t="str">
        <x:v>sub-002</x:v>
      </x:c>
      <x:c r="D6" s="27" t="n">
        <x:v>1</x:v>
      </x:c>
      <x:c r="E6" s="27" t="n">
        <x:v>42</x:v>
      </x:c>
    </x:row>
    <x:row r="7">
      <x:c r="A7" s="22" t="str">
        <x:v>S03</x:v>
      </x:c>
      <x:c r="B7" s="22" t="str">
        <x:v>subject_pair</x:v>
      </x:c>
      <x:c r="C7" s="22" t="str">
        <x:v>sub-001_to_sub-002</x:v>
      </x:c>
      <x:c r="D7" s="22" t="n">
        <x:v>1</x:v>
      </x:c>
      <x:c r="E7" s="22" t="n">
        <x:v>42</x:v>
      </x:c>
    </x:row>
    <x:row r="8">
      <x:c r="A8" s="27" t="str">
        <x:v>S03</x:v>
      </x:c>
      <x:c r="B8" s="27" t="str">
        <x:v>subject_pair</x:v>
      </x:c>
      <x:c r="C8" s="27" t="str">
        <x:v>sub-002_to_sub-001</x:v>
      </x:c>
      <x:c r="D8" s="27" t="n">
        <x:v>1</x:v>
      </x:c>
      <x:c r="E8" s="27" t="n">
        <x:v>42</x:v>
      </x:c>
    </x:row>
    <x:row r="9">
      <x:c r="A9" s="22" t="str">
        <x:v>S04</x:v>
      </x:c>
      <x:c r="B9" s="22" t="str">
        <x:v>subject</x:v>
      </x:c>
      <x:c r="C9" s="22" t="str">
        <x:v>sub-001</x:v>
      </x:c>
      <x:c r="D9" s="22" t="n">
        <x:v>1</x:v>
      </x:c>
      <x:c r="E9" s="22" t="n">
        <x:v>42</x:v>
      </x:c>
    </x:row>
    <x:row r="10">
      <x:c r="A10" s="27" t="str">
        <x:v>S04</x:v>
      </x:c>
      <x:c r="B10" s="27" t="str">
        <x:v>subject</x:v>
      </x:c>
      <x:c r="C10" s="27" t="str">
        <x:v>sub-002</x:v>
      </x:c>
      <x:c r="D10" s="27" t="n">
        <x:v>1</x:v>
      </x:c>
      <x:c r="E10" s="27" t="n">
        <x:v>42</x:v>
      </x:c>
    </x:row>
    <x:row r="11">
      <x:c r="A11" s="22" t="str">
        <x:v>S05</x:v>
      </x:c>
      <x:c r="B11" s="22" t="str">
        <x:v>frozen_rerun</x:v>
      </x:c>
      <x:c r="C11" s="22" t="str">
        <x:v>confirmatory_package</x:v>
      </x:c>
      <x:c r="D11" s="22" t="n">
        <x:v>1</x:v>
      </x:c>
      <x:c r="E11" s="22" t="n">
        <x:v>42</x:v>
      </x:c>
    </x:row>
    <x:row r="12">
      <x:c r="A12" s="27" t="str">
        <x:v>S05</x:v>
      </x:c>
      <x:c r="B12" s="27" t="str">
        <x:v>frozen_rerun</x:v>
      </x:c>
      <x:c r="C12" s="27" t="str">
        <x:v>confirmatory_package</x:v>
      </x:c>
      <x:c r="D12" s="27" t="n">
        <x:v>2</x:v>
      </x:c>
      <x:c r="E12" s="27" t="n">
        <x:v>42</x:v>
      </x:c>
    </x:row>
    <x:row r="13">
      <x:c r="A13" s="3" t="n"/>
      <x:c r="B13" s="3" t="n"/>
      <x:c r="C13" s="3" t="n"/>
      <x:c r="D13" s="3" t="n"/>
      <x:c r="E13" s="3" t="n"/>
    </x:row>
    <x:row r="14">
      <x:c r="A14" s="8" t="n"/>
      <x:c r="B14" s="8" t="n"/>
      <x:c r="C14" s="8" t="n"/>
      <x:c r="D14" s="8" t="n"/>
      <x:c r="E14" s="8" t="n"/>
    </x:row>
    <x:row r="15">
      <x:c r="A15" s="3" t="n"/>
      <x:c r="B15" s="3" t="n"/>
      <x:c r="C15" s="3" t="n"/>
      <x:c r="D15" s="3" t="n"/>
      <x:c r="E15" s="3" t="n"/>
    </x:row>
    <x:row r="16">
      <x:c r="A16" s="8" t="n"/>
      <x:c r="B16" s="8" t="n"/>
      <x:c r="C16" s="8" t="n"/>
      <x:c r="D16" s="8" t="n"/>
      <x:c r="E16" s="8" t="n"/>
    </x:row>
    <x:row r="17">
      <x:c r="A17" s="3" t="n"/>
      <x:c r="B17" s="3" t="n"/>
      <x:c r="C17" s="3" t="n"/>
      <x:c r="D17" s="3" t="n"/>
      <x:c r="E17" s="3" t="n"/>
    </x:row>
    <x:row r="18">
      <x:c r="A18" s="8" t="n"/>
      <x:c r="B18" s="8" t="n"/>
      <x:c r="C18" s="8" t="n"/>
      <x:c r="D18" s="8" t="n"/>
      <x:c r="E18" s="8" t="n"/>
    </x:row>
    <x:row r="19">
      <x:c r="A19" s="3" t="n"/>
      <x:c r="B19" s="3" t="n"/>
      <x:c r="C19" s="3" t="n"/>
      <x:c r="D19" s="3" t="n"/>
      <x:c r="E19" s="3" t="n"/>
    </x:row>
    <x:row r="20">
      <x:c r="A20" s="8" t="n"/>
      <x:c r="B20" s="8" t="n"/>
      <x:c r="C20" s="8" t="n"/>
      <x:c r="D20" s="8" t="n"/>
      <x:c r="E20" s="8" t="n"/>
    </x:row>
    <x:row r="21">
      <x:c r="A21" s="3" t="n"/>
      <x:c r="B21" s="3" t="n"/>
      <x:c r="C21" s="3" t="n"/>
      <x:c r="D21" s="3" t="n"/>
      <x:c r="E21" s="3" t="n"/>
    </x:row>
    <x:row r="22">
      <x:c r="A22" s="8" t="n"/>
      <x:c r="B22" s="8" t="n"/>
      <x:c r="C22" s="8" t="n"/>
      <x:c r="D22" s="8" t="n"/>
      <x:c r="E22" s="8" t="n"/>
    </x:row>
    <x:row r="23">
      <x:c r="A23" s="3" t="n"/>
      <x:c r="B23" s="3" t="n"/>
      <x:c r="C23" s="3" t="n"/>
      <x:c r="D23" s="3" t="n"/>
      <x:c r="E23" s="3" t="n"/>
    </x:row>
    <x:row r="24">
      <x:c r="A24" s="8" t="n"/>
      <x:c r="B24" s="8" t="n"/>
      <x:c r="C24" s="8" t="n"/>
      <x:c r="D24" s="8" t="n"/>
      <x:c r="E24" s="8" t="n"/>
    </x:row>
    <x:row r="25">
      <x:c r="A25" s="3" t="n"/>
      <x:c r="B25" s="3" t="n"/>
      <x:c r="C25" s="3" t="n"/>
      <x:c r="D25" s="3" t="n"/>
      <x:c r="E25" s="3" t="n"/>
    </x:row>
    <x:row r="26">
      <x:c r="A26" s="8" t="n"/>
      <x:c r="B26" s="8" t="n"/>
      <x:c r="C26" s="8" t="n"/>
      <x:c r="D26" s="8" t="n"/>
      <x:c r="E26" s="8" t="n"/>
    </x:row>
    <x:row r="27">
      <x:c r="A27" s="3" t="n"/>
      <x:c r="B27" s="3" t="n"/>
      <x:c r="C27" s="3" t="n"/>
      <x:c r="D27" s="3" t="n"/>
      <x:c r="E27" s="3" t="n"/>
    </x:row>
    <x:row r="28">
      <x:c r="A28" s="8" t="n"/>
      <x:c r="B28" s="8" t="n"/>
      <x:c r="C28" s="8" t="n"/>
      <x:c r="D28" s="8" t="n"/>
      <x:c r="E28" s="8" t="n"/>
    </x:row>
    <x:row r="29">
      <x:c r="A29" s="3" t="n"/>
      <x:c r="B29" s="3" t="n"/>
      <x:c r="C29" s="3" t="n"/>
      <x:c r="D29" s="3" t="n"/>
      <x:c r="E29" s="3" t="n"/>
    </x:row>
    <x:row r="30">
      <x:c r="A30" s="8" t="n"/>
      <x:c r="B30" s="8" t="n"/>
      <x:c r="C30" s="8" t="n"/>
      <x:c r="D30" s="8" t="n"/>
      <x:c r="E30" s="8" t="n"/>
    </x:row>
    <x:row r="31">
      <x:c r="A31" s="3" t="n"/>
      <x:c r="B31" s="3" t="n"/>
      <x:c r="C31" s="3" t="n"/>
      <x:c r="D31" s="3" t="n"/>
      <x:c r="E31" s="3" t="n"/>
    </x:row>
    <x:row r="32">
      <x:c r="A32" s="8" t="n"/>
      <x:c r="B32" s="8" t="n"/>
      <x:c r="C32" s="8" t="n"/>
      <x:c r="D32" s="8" t="n"/>
      <x:c r="E32" s="8" t="n"/>
    </x:row>
    <x:row r="33">
      <x:c r="A33" s="3" t="n"/>
      <x:c r="B33" s="3" t="n"/>
      <x:c r="C33" s="3" t="n"/>
      <x:c r="D33" s="3" t="n"/>
      <x:c r="E33" s="3" t="n"/>
    </x:row>
    <x:row r="34">
      <x:c r="A34" s="8" t="n"/>
      <x:c r="B34" s="8" t="n"/>
      <x:c r="C34" s="8" t="n"/>
      <x:c r="D34" s="8" t="n"/>
      <x:c r="E34" s="8" t="n"/>
    </x:row>
    <x:row r="35">
      <x:c r="A35" s="3" t="n"/>
      <x:c r="B35" s="3" t="n"/>
      <x:c r="C35" s="3" t="n"/>
      <x:c r="D35" s="3" t="n"/>
      <x:c r="E35" s="3" t="n"/>
    </x:row>
    <x:row r="36">
      <x:c r="A36" s="8" t="n"/>
      <x:c r="B36" s="8" t="n"/>
      <x:c r="C36" s="8" t="n"/>
      <x:c r="D36" s="8" t="n"/>
      <x:c r="E36" s="8" t="n"/>
    </x:row>
    <x:row r="37">
      <x:c r="A37" s="3" t="n"/>
      <x:c r="B37" s="3" t="n"/>
      <x:c r="C37" s="3" t="n"/>
      <x:c r="D37" s="3" t="n"/>
      <x:c r="E37" s="3" t="n"/>
    </x:row>
    <x:row r="38">
      <x:c r="A38" s="8" t="n"/>
      <x:c r="B38" s="8" t="n"/>
      <x:c r="C38" s="8" t="n"/>
      <x:c r="D38" s="8" t="n"/>
      <x:c r="E38" s="8" t="n"/>
    </x:row>
    <x:row r="39">
      <x:c r="A39" s="3" t="n"/>
      <x:c r="B39" s="3" t="n"/>
      <x:c r="C39" s="3" t="n"/>
      <x:c r="D39" s="3" t="n"/>
      <x:c r="E39" s="3" t="n"/>
    </x:row>
    <x:row r="40">
      <x:c r="A40" s="8" t="n"/>
      <x:c r="B40" s="8" t="n"/>
      <x:c r="C40" s="8" t="n"/>
      <x:c r="D40" s="8" t="n"/>
      <x:c r="E40" s="8" t="n"/>
    </x:row>
    <x:row r="41">
      <x:c r="A41" s="3" t="n"/>
      <x:c r="B41" s="3" t="n"/>
      <x:c r="C41" s="3" t="n"/>
      <x:c r="D41" s="3" t="n"/>
      <x:c r="E41" s="3" t="n"/>
    </x:row>
    <x:row r="42">
      <x:c r="A42" s="8" t="n"/>
      <x:c r="B42" s="8" t="n"/>
      <x:c r="C42" s="8" t="n"/>
      <x:c r="D42" s="8" t="n"/>
      <x:c r="E42" s="8" t="n"/>
    </x:row>
    <x:row r="43">
      <x:c r="A43" s="3" t="n"/>
      <x:c r="B43" s="3" t="n"/>
      <x:c r="C43" s="3" t="n"/>
      <x:c r="D43" s="3" t="n"/>
      <x:c r="E43" s="3" t="n"/>
    </x:row>
    <x:row r="44">
      <x:c r="A44" s="8" t="n"/>
      <x:c r="B44" s="8" t="n"/>
      <x:c r="C44" s="8" t="n"/>
      <x:c r="D44" s="8" t="n"/>
      <x:c r="E44" s="8" t="n"/>
    </x:row>
    <x:row r="45">
      <x:c r="A45" s="3" t="n"/>
      <x:c r="B45" s="3" t="n"/>
      <x:c r="C45" s="3" t="n"/>
      <x:c r="D45" s="3" t="n"/>
      <x:c r="E45" s="3" t="n"/>
    </x:row>
    <x:row r="46">
      <x:c r="A46" s="8" t="n"/>
      <x:c r="B46" s="8" t="n"/>
      <x:c r="C46" s="8" t="n"/>
      <x:c r="D46" s="8" t="n"/>
      <x:c r="E46" s="8" t="n"/>
    </x:row>
    <x:row r="47">
      <x:c r="A47" s="3" t="n"/>
      <x:c r="B47" s="3" t="n"/>
      <x:c r="C47" s="3" t="n"/>
      <x:c r="D47" s="3" t="n"/>
      <x:c r="E47" s="3" t="n"/>
    </x:row>
    <x:row r="48">
      <x:c r="A48" s="8" t="n"/>
      <x:c r="B48" s="8" t="n"/>
      <x:c r="C48" s="8" t="n"/>
      <x:c r="D48" s="8" t="n"/>
      <x:c r="E48" s="8" t="n"/>
    </x:row>
    <x:row r="49">
      <x:c r="A49" s="3" t="n"/>
      <x:c r="B49" s="3" t="n"/>
      <x:c r="C49" s="3" t="n"/>
      <x:c r="D49" s="3" t="n"/>
      <x:c r="E49" s="3" t="n"/>
    </x:row>
    <x:row r="50">
      <x:c r="A50" s="8" t="n"/>
      <x:c r="B50" s="8" t="n"/>
      <x:c r="C50" s="8" t="n"/>
      <x:c r="D50" s="8" t="n"/>
      <x:c r="E50" s="8" t="n"/>
    </x:row>
    <x:row r="51">
      <x:c r="A51" s="3" t="n"/>
      <x:c r="B51" s="3" t="n"/>
      <x:c r="C51" s="3" t="n"/>
      <x:c r="D51" s="3" t="n"/>
      <x:c r="E51" s="3" t="n"/>
    </x:row>
    <x:row r="52">
      <x:c r="A52" s="8" t="n"/>
      <x:c r="B52" s="8" t="n"/>
      <x:c r="C52" s="8" t="n"/>
      <x:c r="D52" s="8" t="n"/>
      <x:c r="E52" s="8" t="n"/>
    </x:row>
    <x:row r="53">
      <x:c r="A53" s="3" t="n"/>
      <x:c r="B53" s="3" t="n"/>
      <x:c r="C53" s="3" t="n"/>
      <x:c r="D53" s="3" t="n"/>
      <x:c r="E53" s="3" t="n"/>
    </x:row>
    <x:row r="54">
      <x:c r="A54" s="8" t="n"/>
      <x:c r="B54" s="8" t="n"/>
      <x:c r="C54" s="8" t="n"/>
      <x:c r="D54" s="8" t="n"/>
      <x:c r="E54" s="8" t="n"/>
    </x:row>
    <x:row r="55">
      <x:c r="A55" s="3" t="n"/>
      <x:c r="B55" s="3" t="n"/>
      <x:c r="C55" s="3" t="n"/>
      <x:c r="D55" s="3" t="n"/>
      <x:c r="E55" s="3" t="n"/>
    </x:row>
    <x:row r="56">
      <x:c r="A56" s="8" t="n"/>
      <x:c r="B56" s="8" t="n"/>
      <x:c r="C56" s="8" t="n"/>
      <x:c r="D56" s="8" t="n"/>
      <x:c r="E56" s="8" t="n"/>
    </x:row>
    <x:row r="57">
      <x:c r="A57" s="3" t="n"/>
      <x:c r="B57" s="3" t="n"/>
      <x:c r="C57" s="3" t="n"/>
      <x:c r="D57" s="3" t="n"/>
      <x:c r="E57" s="3" t="n"/>
    </x:row>
    <x:row r="58">
      <x:c r="A58" s="8" t="n"/>
      <x:c r="B58" s="8" t="n"/>
      <x:c r="C58" s="8" t="n"/>
      <x:c r="D58" s="8" t="n"/>
      <x:c r="E58" s="8" t="n"/>
    </x:row>
    <x:row r="59">
      <x:c r="A59" s="3" t="n"/>
      <x:c r="B59" s="3" t="n"/>
      <x:c r="C59" s="3" t="n"/>
      <x:c r="D59" s="3" t="n"/>
      <x:c r="E59" s="3" t="n"/>
    </x:row>
    <x:row r="60">
      <x:c r="A60" s="8" t="n"/>
      <x:c r="B60" s="8" t="n"/>
      <x:c r="C60" s="8" t="n"/>
      <x:c r="D60" s="8" t="n"/>
      <x:c r="E60" s="8" t="n"/>
    </x:row>
    <x:row r="61">
      <x:c r="A61" s="3" t="n"/>
      <x:c r="B61" s="3" t="n"/>
      <x:c r="C61" s="3" t="n"/>
      <x:c r="D61" s="3" t="n"/>
      <x:c r="E61" s="3" t="n"/>
    </x:row>
  </x:sheetData>
  <x:mergeCells>
    <x:mergeCell ref="A1:E1"/>
  </x:mergeCells>
  <x:dataValidations count="2">
    <x:dataValidation type="list" allowBlank="1" showDropDown="0" showInputMessage="0" showErrorMessage="0" sqref="B3:B1000">
      <x:formula1>=List_Block_Type</x:formula1>
    </x:dataValidation>
    <x:dataValidation type="list" allowBlank="1" showDropDown="0" showInputMessage="0" showErrorMessage="0" sqref="A3:A1000">
      <x:formula1>=List_Study_ID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0e9e65fc7c4696"/>
  </x:tableParts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22" customWidth="1"/>
    <x:col min="3" max="3" width="22" customWidth="1"/>
    <x:col min="4" max="4" width="34" customWidth="1"/>
    <x:col min="5" max="5" width="18" customWidth="1"/>
    <x:col min="6" max="6" width="16" customWidth="1"/>
    <x:col min="7" max="7" width="24" customWidth="1"/>
    <x:col min="8" max="8" width="36" customWidth="1"/>
    <x:col min="9" max="9" width="14" customWidth="1"/>
  </x:cols>
  <x:sheetData>
    <x:row r="1">
      <x:c r="A1" s="9" t="inlineStr">
        <x:is>
          <x:t xml:space="preserve">Generated Design Matrix (Machine-managed)</x:t>
        </x:is>
      </x:c>
    </x:row>
    <x:row r="2">
      <x:c r="A2" s="7" t="inlineStr">
        <x:is>
          <x:t xml:space="preserve">study_id</x:t>
        </x:is>
      </x:c>
      <x:c r="B2" s="7" t="inlineStr">
        <x:is>
          <x:t xml:space="preserve">trial_id</x:t>
        </x:is>
      </x:c>
      <x:c r="C2" s="7" t="inlineStr">
        <x:is>
          <x:t xml:space="preserve">cell_id</x:t>
        </x:is>
      </x:c>
      <x:c r="D2" s="7" t="inlineStr">
        <x:is>
          <x:t xml:space="preserve">factor_settings_json</x:t>
        </x:is>
      </x:c>
      <x:c r="E2" s="7" t="inlineStr">
        <x:is>
          <x:t xml:space="preserve">start_section</x:t>
        </x:is>
      </x:c>
      <x:c r="F2" s="7" t="inlineStr">
        <x:is>
          <x:t xml:space="preserve">end_section</x:t>
        </x:is>
      </x:c>
      <x:c r="G2" s="7" t="inlineStr">
        <x:is>
          <x:t xml:space="preserve">base_artifact_id</x:t>
        </x:is>
      </x:c>
      <x:c r="H2" s="7" t="inlineStr">
        <x:is>
          <x:t xml:space="preserve">resolved_params_json</x:t>
        </x:is>
      </x:c>
      <x:c r="I2" s="7" t="inlineStr">
        <x:is>
          <x:t xml:space="preserve">status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</x:row>
    <x:row r="4">
      <x:c r="A4" s="8" t="n"/>
      <x:c r="B4" s="8" t="n"/>
      <x:c r="C4" s="8" t="n"/>
      <x:c r="D4" s="8" t="n"/>
      <x:c r="E4" s="8" t="n"/>
      <x:c r="F4" s="8" t="n"/>
      <x:c r="G4" s="8" t="n"/>
      <x:c r="H4" s="8" t="n"/>
      <x:c r="I4" s="8" t="n"/>
    </x:row>
    <x:row r="5">
      <x:c r="A5" s="3" t="n"/>
      <x:c r="B5" s="3" t="n"/>
      <x:c r="C5" s="3" t="n"/>
      <x:c r="D5" s="3" t="n"/>
      <x:c r="E5" s="3" t="n"/>
      <x:c r="F5" s="3" t="n"/>
      <x:c r="G5" s="3" t="n"/>
      <x:c r="H5" s="3" t="n"/>
      <x:c r="I5" s="3" t="n"/>
    </x:row>
    <x:row r="6">
      <x:c r="A6" s="8" t="n"/>
      <x:c r="B6" s="8" t="n"/>
      <x:c r="C6" s="8" t="n"/>
      <x:c r="D6" s="8" t="n"/>
      <x:c r="E6" s="8" t="n"/>
      <x:c r="F6" s="8" t="n"/>
      <x:c r="G6" s="8" t="n"/>
      <x:c r="H6" s="8" t="n"/>
      <x:c r="I6" s="8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  <x:c r="I8" s="8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  <x:c r="I10" s="8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</x:row>
  </x:sheetData>
  <x:mergeCells>
    <x:mergeCell ref="A1:I1"/>
  </x:mergeCells>
  <x:dataValidations count="4">
    <x:dataValidation type="list" allowBlank="1" showDropDown="0" showInputMessage="0" showErrorMessage="0" sqref="A3:A1000">
      <x:formula1>=List_Study_ID</x:formula1>
    </x:dataValidation>
    <x:dataValidation type="list" allowBlank="1" showDropDown="0" showInputMessage="0" showErrorMessage="0" sqref="E3:E1000">
      <x:formula1>=List_Execution_Section</x:formula1>
    </x:dataValidation>
    <x:dataValidation type="list" allowBlank="1" showDropDown="0" showInputMessage="0" showErrorMessage="0" sqref="F3:F1000">
      <x:formula1>=List_Execution_Section</x:formula1>
    </x:dataValidation>
    <x:dataValidation type="list" allowBlank="1" showDropDown="0" showInputMessage="0" showErrorMessage="0" sqref="I3:I1000">
      <x:formula1>=List_Design_Cell_Status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a17cd20eef467b"/>
  </x:tableParts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22" customWidth="1"/>
    <x:col min="3" max="3" width="22" customWidth="1"/>
    <x:col min="4" max="4" width="18" customWidth="1"/>
    <x:col min="5" max="5" width="24" customWidth="1"/>
    <x:col min="6" max="6" width="20" customWidth="1"/>
    <x:col min="7" max="7" width="20" customWidth="1"/>
    <x:col min="8" max="8" width="20" customWidth="1"/>
    <x:col min="9" max="9" width="18" customWidth="1"/>
    <x:col min="10" max="10" width="34" customWidth="1"/>
  </x:cols>
  <x:sheetData>
    <x:row r="1">
      <x:c r="A1" s="9" t="inlineStr">
        <x:is>
          <x:t xml:space="preserve">Effect Summaries (Descriptive)</x:t>
        </x:is>
      </x:c>
    </x:row>
    <x:row r="2">
      <x:c r="A2" s="7" t="inlineStr">
        <x:is>
          <x:t xml:space="preserve">study_id</x:t>
        </x:is>
      </x:c>
      <x:c r="B2" s="7" t="inlineStr">
        <x:is>
          <x:t xml:space="preserve">summary_type</x:t>
        </x:is>
      </x:c>
      <x:c r="C2" s="7" t="inlineStr">
        <x:is>
          <x:t xml:space="preserve">summary_key</x:t>
        </x:is>
      </x:c>
      <x:c r="D2" s="7" t="inlineStr">
        <x:is>
          <x:t xml:space="preserve">factor_level_key</x:t>
        </x:is>
      </x:c>
      <x:c r="E2" s="7" t="inlineStr">
        <x:is>
          <x:t xml:space="preserve">interaction_key</x:t>
        </x:is>
      </x:c>
      <x:c r="F2" s="7" t="inlineStr">
        <x:is>
          <x:t xml:space="preserve">primary_metric_name</x:t>
        </x:is>
      </x:c>
      <x:c r="G2" s="7" t="inlineStr">
        <x:is>
          <x:t xml:space="preserve">mean_primary_metric_value</x:t>
        </x:is>
      </x:c>
      <x:c r="H2" s="7" t="inlineStr">
        <x:is>
          <x:t xml:space="preserve">best_primary_metric_value</x:t>
        </x:is>
      </x:c>
      <x:c r="I2" s="7" t="inlineStr">
        <x:is>
          <x:t xml:space="preserve">best_trial_id</x:t>
        </x:is>
      </x:c>
      <x:c r="J2" s="7" t="inlineStr">
        <x:is>
          <x:t xml:space="preserve">notes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</x:row>
    <x:row r="4">
      <x:c r="A4" s="8" t="n"/>
      <x:c r="B4" s="8" t="n"/>
      <x:c r="C4" s="8" t="n"/>
      <x:c r="D4" s="8" t="n"/>
      <x:c r="E4" s="8" t="n"/>
      <x:c r="F4" s="8" t="n"/>
      <x:c r="G4" s="8" t="n"/>
      <x:c r="H4" s="8" t="n"/>
      <x:c r="I4" s="8" t="n"/>
      <x:c r="J4" s="8" t="n"/>
    </x:row>
    <x:row r="5">
      <x:c r="A5" s="3" t="n"/>
      <x:c r="B5" s="3" t="n"/>
      <x:c r="C5" s="3" t="n"/>
      <x:c r="D5" s="3" t="n"/>
      <x:c r="E5" s="3" t="n"/>
      <x:c r="F5" s="3" t="n"/>
      <x:c r="G5" s="3" t="n"/>
      <x:c r="H5" s="3" t="n"/>
      <x:c r="I5" s="3" t="n"/>
      <x:c r="J5" s="3" t="n"/>
    </x:row>
    <x:row r="6">
      <x:c r="A6" s="8" t="n"/>
      <x:c r="B6" s="8" t="n"/>
      <x:c r="C6" s="8" t="n"/>
      <x:c r="D6" s="8" t="n"/>
      <x:c r="E6" s="8" t="n"/>
      <x:c r="F6" s="8" t="n"/>
      <x:c r="G6" s="8" t="n"/>
      <x:c r="H6" s="8" t="n"/>
      <x:c r="I6" s="8" t="n"/>
      <x:c r="J6" s="8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  <x:c r="J7" s="3" t="n"/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  <x:c r="I8" s="8" t="n"/>
      <x:c r="J8" s="8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  <x:c r="J9" s="3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  <x:c r="I10" s="8" t="n"/>
      <x:c r="J10" s="8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  <x:c r="J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  <x:c r="J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  <x:c r="J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  <x:c r="J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  <x:c r="J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  <x:c r="J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</x:row>
  </x:sheetData>
  <x:mergeCells>
    <x:mergeCell ref="A1:J1"/>
  </x:mergeCells>
  <x:dataValidations count="1">
    <x:dataValidation type="list" allowBlank="1" showDropDown="0" showInputMessage="0" showErrorMessage="0" sqref="A3:A1000">
      <x:formula1>=List_Study_ID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400cc5af3148cb"/>
  </x:tableParts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24" customWidth="1"/>
    <x:col min="3" max="3" width="14" customWidth="1"/>
    <x:col min="4" max="4" width="14" customWidth="1"/>
    <x:col min="5" max="5" width="24" customWidth="1"/>
    <x:col min="6" max="6" width="12" customWidth="1"/>
    <x:col min="7" max="7" width="10" customWidth="1"/>
    <x:col min="8" max="8" width="26" customWidth="1"/>
    <x:col min="9" max="9" width="26" customWidth="1"/>
    <x:col min="10" max="10" width="26" customWidth="1"/>
    <x:col min="11" max="11" width="24" customWidth="1"/>
    <x:col min="12" max="12" width="28" customWidth="1"/>
    <x:col min="13" max="13" width="18" customWidth="1"/>
    <x:col min="14" max="14" width="16" customWidth="1"/>
    <x:col min="15" max="15" width="34" customWidth="1"/>
    <x:col min="16" max="16" width="34" customWidth="1"/>
    <x:col min="17" max="17" width="30" customWidth="1"/>
    <x:col min="18" max="18" width="12" customWidth="1"/>
    <x:col min="19" max="19" width="12" customWidth="1"/>
    <x:col min="20" max="20" width="12" customWidth="1"/>
    <x:col min="21" max="21" width="20" customWidth="1"/>
    <x:col min="22" max="22" width="24" customWidth="1"/>
    <x:col min="23" max="23" width="20" customWidth="1"/>
    <x:col min="24" max="24" width="10" customWidth="1"/>
    <x:col min="25" max="25" width="16" customWidth="1"/>
    <x:col min="26" max="26" width="18" customWidth="1"/>
    <x:col min="27" max="27" width="18" customWidth="1"/>
    <x:col min="28" max="28" width="18" customWidth="1"/>
    <x:col min="29" max="29" width="16" customWidth="1"/>
    <x:col min="30" max="30" width="12" customWidth="1"/>
    <x:col min="31" max="31" width="18" customWidth="1"/>
    <x:col min="32" max="32" width="20" customWidth="1"/>
    <x:col min="33" max="33" width="20" customWidth="1"/>
    <x:col min="34" max="34" width="12" customWidth="1"/>
    <x:col min="35" max="35" width="12" customWidth="1"/>
    <x:col min="36" max="36" width="12" customWidth="1"/>
    <x:col min="37" max="37" width="12" customWidth="1"/>
    <x:col min="38" max="38" width="36" customWidth="1"/>
  </x:cols>
  <x:sheetData>
    <x:row r="1">
      <x:c r="A1" s="9" t="inlineStr">
        <x:is>
          <x:t xml:space="preserve">Study Review (Machine-managed pre-execution guardrails)</x:t>
        </x:is>
      </x:c>
    </x:row>
    <x:row r="2">
      <x:c r="A2" s="7" t="inlineStr">
        <x:is>
          <x:t xml:space="preserve">study_id</x:t>
        </x:is>
      </x:c>
      <x:c r="B2" s="7" t="inlineStr">
        <x:is>
          <x:t xml:space="preserve">study_name</x:t>
        </x:is>
      </x:c>
      <x:c r="C2" s="7" t="inlineStr">
        <x:is>
          <x:t xml:space="preserve">intent</x:t>
        </x:is>
      </x:c>
      <x:c r="D2" s="7" t="inlineStr">
        <x:is>
          <x:t xml:space="preserve">execution_disposition</x:t>
        </x:is>
      </x:c>
      <x:c r="E2" s="7" t="inlineStr">
        <x:is>
          <x:t xml:space="preserve">execution_eligibility_status</x:t>
        </x:is>
      </x:c>
      <x:c r="F2" s="7" t="inlineStr">
        <x:is>
          <x:t xml:space="preserve">warning_count</x:t>
        </x:is>
      </x:c>
      <x:c r="G2" s="7" t="inlineStr">
        <x:is>
          <x:t xml:space="preserve">error_count</x:t>
        </x:is>
      </x:c>
      <x:c r="H2" s="7" t="inlineStr">
        <x:is>
          <x:t xml:space="preserve">missing_fields_json</x:t>
        </x:is>
      </x:c>
      <x:c r="I2" s="7" t="inlineStr">
        <x:is>
          <x:t xml:space="preserve">warnings_json</x:t>
        </x:is>
      </x:c>
      <x:c r="J2" s="7" t="inlineStr">
        <x:is>
          <x:t xml:space="preserve">errors_json</x:t>
        </x:is>
      </x:c>
      <x:c r="K2" s="7" t="inlineStr">
        <x:is>
          <x:t xml:space="preserve">question</x:t>
        </x:is>
      </x:c>
      <x:c r="L2" s="7" t="inlineStr">
        <x:is>
          <x:t xml:space="preserve">generalization_claim</x:t>
        </x:is>
      </x:c>
      <x:c r="M2" s="7" t="inlineStr">
        <x:is>
          <x:t xml:space="preserve">start_section</x:t>
        </x:is>
      </x:c>
      <x:c r="N2" s="7" t="inlineStr">
        <x:is>
          <x:t xml:space="preserve">end_section</x:t>
        </x:is>
      </x:c>
      <x:c r="O2" s="7" t="inlineStr">
        <x:is>
          <x:t xml:space="preserve">factors_json</x:t>
        </x:is>
      </x:c>
      <x:c r="P2" s="7" t="inlineStr">
        <x:is>
          <x:t xml:space="preserve">fixed_controls_json</x:t>
        </x:is>
      </x:c>
      <x:c r="Q2" s="7" t="inlineStr">
        <x:is>
          <x:t xml:space="preserve">constraints_json</x:t>
        </x:is>
      </x:c>
      <x:c r="R2" s="7" t="inlineStr">
        <x:is>
          <x:t xml:space="preserve">excluded_combination_count</x:t>
        </x:is>
      </x:c>
      <x:c r="S2" s="7" t="inlineStr">
        <x:is>
          <x:t xml:space="preserve">expected_design_cells</x:t>
        </x:is>
      </x:c>
      <x:c r="T2" s="7" t="inlineStr">
        <x:is>
          <x:t xml:space="preserve">expected_trials</x:t>
        </x:is>
      </x:c>
      <x:c r="U2" s="7" t="inlineStr">
        <x:is>
          <x:t xml:space="preserve">primary_metric</x:t>
        </x:is>
      </x:c>
      <x:c r="V2" s="7" t="inlineStr">
        <x:is>
          <x:t xml:space="preserve">secondary_metrics</x:t>
        </x:is>
      </x:c>
      <x:c r="W2" s="7" t="inlineStr">
        <x:is>
          <x:t xml:space="preserve">cv_scheme</x:t>
        </x:is>
      </x:c>
      <x:c r="X2" s="7" t="inlineStr">
        <x:is>
          <x:t xml:space="preserve">nested_cv</x:t>
        </x:is>
      </x:c>
      <x:c r="Y2" s="7" t="inlineStr">
        <x:is>
          <x:t xml:space="preserve">external_validation_planned</x:t>
        </x:is>
      </x:c>
      <x:c r="Z2" s="7" t="inlineStr">
        <x:is>
          <x:t xml:space="preserve">blocking_strategy</x:t>
        </x:is>
      </x:c>
      <x:c r="AA2" s="7" t="inlineStr">
        <x:is>
          <x:t xml:space="preserve">randomization_strategy</x:t>
        </x:is>
      </x:c>
      <x:c r="AB2" s="7" t="inlineStr">
        <x:is>
          <x:t xml:space="preserve">replication_strategy</x:t>
        </x:is>
      </x:c>
      <x:c r="AC2" s="7" t="inlineStr">
        <x:is>
          <x:t xml:space="preserve">replication_mode</x:t>
        </x:is>
      </x:c>
      <x:c r="AD2" s="7" t="inlineStr">
        <x:is>
          <x:t xml:space="preserve">num_repeats</x:t>
        </x:is>
      </x:c>
      <x:c r="AE2" s="7" t="inlineStr">
        <x:is>
          <x:t xml:space="preserve">random_seed_policy</x:t>
        </x:is>
      </x:c>
      <x:c r="AF2" s="7" t="inlineStr">
        <x:is>
          <x:t xml:space="preserve">rigor_checklist_status</x:t>
        </x:is>
      </x:c>
      <x:c r="AG2" s="7" t="inlineStr">
        <x:is>
          <x:t xml:space="preserve">analysis_plan_status</x:t>
        </x:is>
      </x:c>
      <x:c r="AH2" s="7" t="inlineStr">
        <x:is>
          <x:t xml:space="preserve">completed_trials</x:t>
        </x:is>
      </x:c>
      <x:c r="AI2" s="7" t="inlineStr">
        <x:is>
          <x:t xml:space="preserve">failed_trials</x:t>
        </x:is>
      </x:c>
      <x:c r="AJ2" s="7" t="inlineStr">
        <x:is>
          <x:t xml:space="preserve">blocked_trials</x:t>
        </x:is>
      </x:c>
      <x:c r="AK2" s="7" t="inlineStr">
        <x:is>
          <x:t xml:space="preserve">dry_run_trials</x:t>
        </x:is>
      </x:c>
      <x:c r="AL2" s="7" t="inlineStr">
        <x:is>
          <x:t xml:space="preserve">notes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  <x:c r="AB3" s="3" t="n"/>
      <x:c r="AC3" s="3" t="n"/>
      <x:c r="AD3" s="3" t="n"/>
      <x:c r="AE3" s="3" t="n"/>
      <x:c r="AF3" s="3" t="n"/>
      <x:c r="AG3" s="3" t="n"/>
      <x:c r="AH3" s="3" t="n"/>
      <x:c r="AI3" s="3" t="n"/>
      <x:c r="AJ3" s="3" t="n"/>
      <x:c r="AK3" s="3" t="n"/>
      <x:c r="AL3" s="3" t="n"/>
    </x:row>
    <x:row r="4">
      <x:c r="A4" s="8" t="n"/>
      <x:c r="B4" s="8" t="n"/>
      <x:c r="C4" s="8" t="n"/>
      <x:c r="D4" s="8" t="n"/>
      <x:c r="E4" s="8" t="n"/>
      <x:c r="F4" s="8" t="n"/>
      <x:c r="G4" s="8" t="n"/>
      <x:c r="H4" s="8" t="n"/>
      <x:c r="I4" s="8" t="n"/>
      <x:c r="J4" s="8" t="n"/>
      <x:c r="K4" s="8" t="n"/>
      <x:c r="L4" s="8" t="n"/>
      <x:c r="M4" s="8" t="n"/>
      <x:c r="N4" s="8" t="n"/>
      <x:c r="O4" s="8" t="n"/>
      <x:c r="P4" s="8" t="n"/>
      <x:c r="Q4" s="8" t="n"/>
      <x:c r="R4" s="8" t="n"/>
      <x:c r="S4" s="8" t="n"/>
      <x:c r="T4" s="8" t="n"/>
      <x:c r="U4" s="8" t="n"/>
      <x:c r="V4" s="8" t="n"/>
      <x:c r="W4" s="8" t="n"/>
      <x:c r="X4" s="8" t="n"/>
      <x:c r="Y4" s="8" t="n"/>
      <x:c r="Z4" s="8" t="n"/>
      <x:c r="AA4" s="8" t="n"/>
      <x:c r="AB4" s="8" t="n"/>
      <x:c r="AC4" s="8" t="n"/>
      <x:c r="AD4" s="8" t="n"/>
      <x:c r="AE4" s="8" t="n"/>
      <x:c r="AF4" s="8" t="n"/>
      <x:c r="AG4" s="8" t="n"/>
      <x:c r="AH4" s="8" t="n"/>
      <x:c r="AI4" s="8" t="n"/>
      <x:c r="AJ4" s="8" t="n"/>
      <x:c r="AK4" s="8" t="n"/>
      <x:c r="AL4" s="8" t="n"/>
    </x:row>
    <x:row r="5">
      <x:c r="A5" s="3" t="n"/>
      <x:c r="B5" s="3" t="n"/>
      <x:c r="C5" s="3" t="n"/>
      <x:c r="D5" s="3" t="n"/>
      <x:c r="E5" s="3" t="n"/>
      <x:c r="F5" s="3" t="n"/>
      <x:c r="G5" s="3" t="n"/>
      <x:c r="H5" s="3" t="n"/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  <x:c r="AB5" s="3" t="n"/>
      <x:c r="AC5" s="3" t="n"/>
      <x:c r="AD5" s="3" t="n"/>
      <x:c r="AE5" s="3" t="n"/>
      <x:c r="AF5" s="3" t="n"/>
      <x:c r="AG5" s="3" t="n"/>
      <x:c r="AH5" s="3" t="n"/>
      <x:c r="AI5" s="3" t="n"/>
      <x:c r="AJ5" s="3" t="n"/>
      <x:c r="AK5" s="3" t="n"/>
      <x:c r="AL5" s="3" t="n"/>
    </x:row>
    <x:row r="6">
      <x:c r="A6" s="8" t="n"/>
      <x:c r="B6" s="8" t="n"/>
      <x:c r="C6" s="8" t="n"/>
      <x:c r="D6" s="8" t="n"/>
      <x:c r="E6" s="8" t="n"/>
      <x:c r="F6" s="8" t="n"/>
      <x:c r="G6" s="8" t="n"/>
      <x:c r="H6" s="8" t="n"/>
      <x:c r="I6" s="8" t="n"/>
      <x:c r="J6" s="8" t="n"/>
      <x:c r="K6" s="8" t="n"/>
      <x:c r="L6" s="8" t="n"/>
      <x:c r="M6" s="8" t="n"/>
      <x:c r="N6" s="8" t="n"/>
      <x:c r="O6" s="8" t="n"/>
      <x:c r="P6" s="8" t="n"/>
      <x:c r="Q6" s="8" t="n"/>
      <x:c r="R6" s="8" t="n"/>
      <x:c r="S6" s="8" t="n"/>
      <x:c r="T6" s="8" t="n"/>
      <x:c r="U6" s="8" t="n"/>
      <x:c r="V6" s="8" t="n"/>
      <x:c r="W6" s="8" t="n"/>
      <x:c r="X6" s="8" t="n"/>
      <x:c r="Y6" s="8" t="n"/>
      <x:c r="Z6" s="8" t="n"/>
      <x:c r="AA6" s="8" t="n"/>
      <x:c r="AB6" s="8" t="n"/>
      <x:c r="AC6" s="8" t="n"/>
      <x:c r="AD6" s="8" t="n"/>
      <x:c r="AE6" s="8" t="n"/>
      <x:c r="AF6" s="8" t="n"/>
      <x:c r="AG6" s="8" t="n"/>
      <x:c r="AH6" s="8" t="n"/>
      <x:c r="AI6" s="8" t="n"/>
      <x:c r="AJ6" s="8" t="n"/>
      <x:c r="AK6" s="8" t="n"/>
      <x:c r="AL6" s="8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  <x:c r="AB7" s="3" t="n"/>
      <x:c r="AC7" s="3" t="n"/>
      <x:c r="AD7" s="3" t="n"/>
      <x:c r="AE7" s="3" t="n"/>
      <x:c r="AF7" s="3" t="n"/>
      <x:c r="AG7" s="3" t="n"/>
      <x:c r="AH7" s="3" t="n"/>
      <x:c r="AI7" s="3" t="n"/>
      <x:c r="AJ7" s="3" t="n"/>
      <x:c r="AK7" s="3" t="n"/>
      <x:c r="AL7" s="3" t="n"/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  <x:c r="I8" s="8" t="n"/>
      <x:c r="J8" s="8" t="n"/>
      <x:c r="K8" s="8" t="n"/>
      <x:c r="L8" s="8" t="n"/>
      <x:c r="M8" s="8" t="n"/>
      <x:c r="N8" s="8" t="n"/>
      <x:c r="O8" s="8" t="n"/>
      <x:c r="P8" s="8" t="n"/>
      <x:c r="Q8" s="8" t="n"/>
      <x:c r="R8" s="8" t="n"/>
      <x:c r="S8" s="8" t="n"/>
      <x:c r="T8" s="8" t="n"/>
      <x:c r="U8" s="8" t="n"/>
      <x:c r="V8" s="8" t="n"/>
      <x:c r="W8" s="8" t="n"/>
      <x:c r="X8" s="8" t="n"/>
      <x:c r="Y8" s="8" t="n"/>
      <x:c r="Z8" s="8" t="n"/>
      <x:c r="AA8" s="8" t="n"/>
      <x:c r="AB8" s="8" t="n"/>
      <x:c r="AC8" s="8" t="n"/>
      <x:c r="AD8" s="8" t="n"/>
      <x:c r="AE8" s="8" t="n"/>
      <x:c r="AF8" s="8" t="n"/>
      <x:c r="AG8" s="8" t="n"/>
      <x:c r="AH8" s="8" t="n"/>
      <x:c r="AI8" s="8" t="n"/>
      <x:c r="AJ8" s="8" t="n"/>
      <x:c r="AK8" s="8" t="n"/>
      <x:c r="AL8" s="8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  <x:c r="AB9" s="3" t="n"/>
      <x:c r="AC9" s="3" t="n"/>
      <x:c r="AD9" s="3" t="n"/>
      <x:c r="AE9" s="3" t="n"/>
      <x:c r="AF9" s="3" t="n"/>
      <x:c r="AG9" s="3" t="n"/>
      <x:c r="AH9" s="3" t="n"/>
      <x:c r="AI9" s="3" t="n"/>
      <x:c r="AJ9" s="3" t="n"/>
      <x:c r="AK9" s="3" t="n"/>
      <x:c r="AL9" s="3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  <x:c r="I10" s="8" t="n"/>
      <x:c r="J10" s="8" t="n"/>
      <x:c r="K10" s="8" t="n"/>
      <x:c r="L10" s="8" t="n"/>
      <x:c r="M10" s="8" t="n"/>
      <x:c r="N10" s="8" t="n"/>
      <x:c r="O10" s="8" t="n"/>
      <x:c r="P10" s="8" t="n"/>
      <x:c r="Q10" s="8" t="n"/>
      <x:c r="R10" s="8" t="n"/>
      <x:c r="S10" s="8" t="n"/>
      <x:c r="T10" s="8" t="n"/>
      <x:c r="U10" s="8" t="n"/>
      <x:c r="V10" s="8" t="n"/>
      <x:c r="W10" s="8" t="n"/>
      <x:c r="X10" s="8" t="n"/>
      <x:c r="Y10" s="8" t="n"/>
      <x:c r="Z10" s="8" t="n"/>
      <x:c r="AA10" s="8" t="n"/>
      <x:c r="AB10" s="8" t="n"/>
      <x:c r="AC10" s="8" t="n"/>
      <x:c r="AD10" s="8" t="n"/>
      <x:c r="AE10" s="8" t="n"/>
      <x:c r="AF10" s="8" t="n"/>
      <x:c r="AG10" s="8" t="n"/>
      <x:c r="AH10" s="8" t="n"/>
      <x:c r="AI10" s="8" t="n"/>
      <x:c r="AJ10" s="8" t="n"/>
      <x:c r="AK10" s="8" t="n"/>
      <x:c r="AL10" s="8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  <x:c r="AB11" s="3" t="n"/>
      <x:c r="AC11" s="3" t="n"/>
      <x:c r="AD11" s="3" t="n"/>
      <x:c r="AE11" s="3" t="n"/>
      <x:c r="AF11" s="3" t="n"/>
      <x:c r="AG11" s="3" t="n"/>
      <x:c r="AH11" s="3" t="n"/>
      <x:c r="AI11" s="3" t="n"/>
      <x:c r="AJ11" s="3" t="n"/>
      <x:c r="AK11" s="3" t="n"/>
      <x:c r="AL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  <x:c r="J12" s="8" t="n"/>
      <x:c r="K12" s="8" t="n"/>
      <x:c r="L12" s="8" t="n"/>
      <x:c r="M12" s="8" t="n"/>
      <x:c r="N12" s="8" t="n"/>
      <x:c r="O12" s="8" t="n"/>
      <x:c r="P12" s="8" t="n"/>
      <x:c r="Q12" s="8" t="n"/>
      <x:c r="R12" s="8" t="n"/>
      <x:c r="S12" s="8" t="n"/>
      <x:c r="T12" s="8" t="n"/>
      <x:c r="U12" s="8" t="n"/>
      <x:c r="V12" s="8" t="n"/>
      <x:c r="W12" s="8" t="n"/>
      <x:c r="X12" s="8" t="n"/>
      <x:c r="Y12" s="8" t="n"/>
      <x:c r="Z12" s="8" t="n"/>
      <x:c r="AA12" s="8" t="n"/>
      <x:c r="AB12" s="8" t="n"/>
      <x:c r="AC12" s="8" t="n"/>
      <x:c r="AD12" s="8" t="n"/>
      <x:c r="AE12" s="8" t="n"/>
      <x:c r="AF12" s="8" t="n"/>
      <x:c r="AG12" s="8" t="n"/>
      <x:c r="AH12" s="8" t="n"/>
      <x:c r="AI12" s="8" t="n"/>
      <x:c r="AJ12" s="8" t="n"/>
      <x:c r="AK12" s="8" t="n"/>
      <x:c r="AL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  <x:c r="AB13" s="3" t="n"/>
      <x:c r="AC13" s="3" t="n"/>
      <x:c r="AD13" s="3" t="n"/>
      <x:c r="AE13" s="3" t="n"/>
      <x:c r="AF13" s="3" t="n"/>
      <x:c r="AG13" s="3" t="n"/>
      <x:c r="AH13" s="3" t="n"/>
      <x:c r="AI13" s="3" t="n"/>
      <x:c r="AJ13" s="3" t="n"/>
      <x:c r="AK13" s="3" t="n"/>
      <x:c r="AL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  <x:c r="J14" s="8" t="n"/>
      <x:c r="K14" s="8" t="n"/>
      <x:c r="L14" s="8" t="n"/>
      <x:c r="M14" s="8" t="n"/>
      <x:c r="N14" s="8" t="n"/>
      <x:c r="O14" s="8" t="n"/>
      <x:c r="P14" s="8" t="n"/>
      <x:c r="Q14" s="8" t="n"/>
      <x:c r="R14" s="8" t="n"/>
      <x:c r="S14" s="8" t="n"/>
      <x:c r="T14" s="8" t="n"/>
      <x:c r="U14" s="8" t="n"/>
      <x:c r="V14" s="8" t="n"/>
      <x:c r="W14" s="8" t="n"/>
      <x:c r="X14" s="8" t="n"/>
      <x:c r="Y14" s="8" t="n"/>
      <x:c r="Z14" s="8" t="n"/>
      <x:c r="AA14" s="8" t="n"/>
      <x:c r="AB14" s="8" t="n"/>
      <x:c r="AC14" s="8" t="n"/>
      <x:c r="AD14" s="8" t="n"/>
      <x:c r="AE14" s="8" t="n"/>
      <x:c r="AF14" s="8" t="n"/>
      <x:c r="AG14" s="8" t="n"/>
      <x:c r="AH14" s="8" t="n"/>
      <x:c r="AI14" s="8" t="n"/>
      <x:c r="AJ14" s="8" t="n"/>
      <x:c r="AK14" s="8" t="n"/>
      <x:c r="AL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  <x:c r="AB15" s="3" t="n"/>
      <x:c r="AC15" s="3" t="n"/>
      <x:c r="AD15" s="3" t="n"/>
      <x:c r="AE15" s="3" t="n"/>
      <x:c r="AF15" s="3" t="n"/>
      <x:c r="AG15" s="3" t="n"/>
      <x:c r="AH15" s="3" t="n"/>
      <x:c r="AI15" s="3" t="n"/>
      <x:c r="AJ15" s="3" t="n"/>
      <x:c r="AK15" s="3" t="n"/>
      <x:c r="AL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  <x:c r="K16" s="8" t="n"/>
      <x:c r="L16" s="8" t="n"/>
      <x:c r="M16" s="8" t="n"/>
      <x:c r="N16" s="8" t="n"/>
      <x:c r="O16" s="8" t="n"/>
      <x:c r="P16" s="8" t="n"/>
      <x:c r="Q16" s="8" t="n"/>
      <x:c r="R16" s="8" t="n"/>
      <x:c r="S16" s="8" t="n"/>
      <x:c r="T16" s="8" t="n"/>
      <x:c r="U16" s="8" t="n"/>
      <x:c r="V16" s="8" t="n"/>
      <x:c r="W16" s="8" t="n"/>
      <x:c r="X16" s="8" t="n"/>
      <x:c r="Y16" s="8" t="n"/>
      <x:c r="Z16" s="8" t="n"/>
      <x:c r="AA16" s="8" t="n"/>
      <x:c r="AB16" s="8" t="n"/>
      <x:c r="AC16" s="8" t="n"/>
      <x:c r="AD16" s="8" t="n"/>
      <x:c r="AE16" s="8" t="n"/>
      <x:c r="AF16" s="8" t="n"/>
      <x:c r="AG16" s="8" t="n"/>
      <x:c r="AH16" s="8" t="n"/>
      <x:c r="AI16" s="8" t="n"/>
      <x:c r="AJ16" s="8" t="n"/>
      <x:c r="AK16" s="8" t="n"/>
      <x:c r="AL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  <x:c r="AB17" s="3" t="n"/>
      <x:c r="AC17" s="3" t="n"/>
      <x:c r="AD17" s="3" t="n"/>
      <x:c r="AE17" s="3" t="n"/>
      <x:c r="AF17" s="3" t="n"/>
      <x:c r="AG17" s="3" t="n"/>
      <x:c r="AH17" s="3" t="n"/>
      <x:c r="AI17" s="3" t="n"/>
      <x:c r="AJ17" s="3" t="n"/>
      <x:c r="AK17" s="3" t="n"/>
      <x:c r="AL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  <x:c r="K18" s="8" t="n"/>
      <x:c r="L18" s="8" t="n"/>
      <x:c r="M18" s="8" t="n"/>
      <x:c r="N18" s="8" t="n"/>
      <x:c r="O18" s="8" t="n"/>
      <x:c r="P18" s="8" t="n"/>
      <x:c r="Q18" s="8" t="n"/>
      <x:c r="R18" s="8" t="n"/>
      <x:c r="S18" s="8" t="n"/>
      <x:c r="T18" s="8" t="n"/>
      <x:c r="U18" s="8" t="n"/>
      <x:c r="V18" s="8" t="n"/>
      <x:c r="W18" s="8" t="n"/>
      <x:c r="X18" s="8" t="n"/>
      <x:c r="Y18" s="8" t="n"/>
      <x:c r="Z18" s="8" t="n"/>
      <x:c r="AA18" s="8" t="n"/>
      <x:c r="AB18" s="8" t="n"/>
      <x:c r="AC18" s="8" t="n"/>
      <x:c r="AD18" s="8" t="n"/>
      <x:c r="AE18" s="8" t="n"/>
      <x:c r="AF18" s="8" t="n"/>
      <x:c r="AG18" s="8" t="n"/>
      <x:c r="AH18" s="8" t="n"/>
      <x:c r="AI18" s="8" t="n"/>
      <x:c r="AJ18" s="8" t="n"/>
      <x:c r="AK18" s="8" t="n"/>
      <x:c r="AL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  <x:c r="AB19" s="3" t="n"/>
      <x:c r="AC19" s="3" t="n"/>
      <x:c r="AD19" s="3" t="n"/>
      <x:c r="AE19" s="3" t="n"/>
      <x:c r="AF19" s="3" t="n"/>
      <x:c r="AG19" s="3" t="n"/>
      <x:c r="AH19" s="3" t="n"/>
      <x:c r="AI19" s="3" t="n"/>
      <x:c r="AJ19" s="3" t="n"/>
      <x:c r="AK19" s="3" t="n"/>
      <x:c r="AL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  <x:c r="K20" s="8" t="n"/>
      <x:c r="L20" s="8" t="n"/>
      <x:c r="M20" s="8" t="n"/>
      <x:c r="N20" s="8" t="n"/>
      <x:c r="O20" s="8" t="n"/>
      <x:c r="P20" s="8" t="n"/>
      <x:c r="Q20" s="8" t="n"/>
      <x:c r="R20" s="8" t="n"/>
      <x:c r="S20" s="8" t="n"/>
      <x:c r="T20" s="8" t="n"/>
      <x:c r="U20" s="8" t="n"/>
      <x:c r="V20" s="8" t="n"/>
      <x:c r="W20" s="8" t="n"/>
      <x:c r="X20" s="8" t="n"/>
      <x:c r="Y20" s="8" t="n"/>
      <x:c r="Z20" s="8" t="n"/>
      <x:c r="AA20" s="8" t="n"/>
      <x:c r="AB20" s="8" t="n"/>
      <x:c r="AC20" s="8" t="n"/>
      <x:c r="AD20" s="8" t="n"/>
      <x:c r="AE20" s="8" t="n"/>
      <x:c r="AF20" s="8" t="n"/>
      <x:c r="AG20" s="8" t="n"/>
      <x:c r="AH20" s="8" t="n"/>
      <x:c r="AI20" s="8" t="n"/>
      <x:c r="AJ20" s="8" t="n"/>
      <x:c r="AK20" s="8" t="n"/>
      <x:c r="AL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  <x:c r="AB21" s="3" t="n"/>
      <x:c r="AC21" s="3" t="n"/>
      <x:c r="AD21" s="3" t="n"/>
      <x:c r="AE21" s="3" t="n"/>
      <x:c r="AF21" s="3" t="n"/>
      <x:c r="AG21" s="3" t="n"/>
      <x:c r="AH21" s="3" t="n"/>
      <x:c r="AI21" s="3" t="n"/>
      <x:c r="AJ21" s="3" t="n"/>
      <x:c r="AK21" s="3" t="n"/>
      <x:c r="AL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  <x:c r="K22" s="8" t="n"/>
      <x:c r="L22" s="8" t="n"/>
      <x:c r="M22" s="8" t="n"/>
      <x:c r="N22" s="8" t="n"/>
      <x:c r="O22" s="8" t="n"/>
      <x:c r="P22" s="8" t="n"/>
      <x:c r="Q22" s="8" t="n"/>
      <x:c r="R22" s="8" t="n"/>
      <x:c r="S22" s="8" t="n"/>
      <x:c r="T22" s="8" t="n"/>
      <x:c r="U22" s="8" t="n"/>
      <x:c r="V22" s="8" t="n"/>
      <x:c r="W22" s="8" t="n"/>
      <x:c r="X22" s="8" t="n"/>
      <x:c r="Y22" s="8" t="n"/>
      <x:c r="Z22" s="8" t="n"/>
      <x:c r="AA22" s="8" t="n"/>
      <x:c r="AB22" s="8" t="n"/>
      <x:c r="AC22" s="8" t="n"/>
      <x:c r="AD22" s="8" t="n"/>
      <x:c r="AE22" s="8" t="n"/>
      <x:c r="AF22" s="8" t="n"/>
      <x:c r="AG22" s="8" t="n"/>
      <x:c r="AH22" s="8" t="n"/>
      <x:c r="AI22" s="8" t="n"/>
      <x:c r="AJ22" s="8" t="n"/>
      <x:c r="AK22" s="8" t="n"/>
      <x:c r="AL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  <x:c r="AB23" s="3" t="n"/>
      <x:c r="AC23" s="3" t="n"/>
      <x:c r="AD23" s="3" t="n"/>
      <x:c r="AE23" s="3" t="n"/>
      <x:c r="AF23" s="3" t="n"/>
      <x:c r="AG23" s="3" t="n"/>
      <x:c r="AH23" s="3" t="n"/>
      <x:c r="AI23" s="3" t="n"/>
      <x:c r="AJ23" s="3" t="n"/>
      <x:c r="AK23" s="3" t="n"/>
      <x:c r="AL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  <x:c r="K24" s="8" t="n"/>
      <x:c r="L24" s="8" t="n"/>
      <x:c r="M24" s="8" t="n"/>
      <x:c r="N24" s="8" t="n"/>
      <x:c r="O24" s="8" t="n"/>
      <x:c r="P24" s="8" t="n"/>
      <x:c r="Q24" s="8" t="n"/>
      <x:c r="R24" s="8" t="n"/>
      <x:c r="S24" s="8" t="n"/>
      <x:c r="T24" s="8" t="n"/>
      <x:c r="U24" s="8" t="n"/>
      <x:c r="V24" s="8" t="n"/>
      <x:c r="W24" s="8" t="n"/>
      <x:c r="X24" s="8" t="n"/>
      <x:c r="Y24" s="8" t="n"/>
      <x:c r="Z24" s="8" t="n"/>
      <x:c r="AA24" s="8" t="n"/>
      <x:c r="AB24" s="8" t="n"/>
      <x:c r="AC24" s="8" t="n"/>
      <x:c r="AD24" s="8" t="n"/>
      <x:c r="AE24" s="8" t="n"/>
      <x:c r="AF24" s="8" t="n"/>
      <x:c r="AG24" s="8" t="n"/>
      <x:c r="AH24" s="8" t="n"/>
      <x:c r="AI24" s="8" t="n"/>
      <x:c r="AJ24" s="8" t="n"/>
      <x:c r="AK24" s="8" t="n"/>
      <x:c r="AL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  <x:c r="O25" s="3" t="n"/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  <x:c r="AB25" s="3" t="n"/>
      <x:c r="AC25" s="3" t="n"/>
      <x:c r="AD25" s="3" t="n"/>
      <x:c r="AE25" s="3" t="n"/>
      <x:c r="AF25" s="3" t="n"/>
      <x:c r="AG25" s="3" t="n"/>
      <x:c r="AH25" s="3" t="n"/>
      <x:c r="AI25" s="3" t="n"/>
      <x:c r="AJ25" s="3" t="n"/>
      <x:c r="AK25" s="3" t="n"/>
      <x:c r="AL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  <x:c r="K26" s="8" t="n"/>
      <x:c r="L26" s="8" t="n"/>
      <x:c r="M26" s="8" t="n"/>
      <x:c r="N26" s="8" t="n"/>
      <x:c r="O26" s="8" t="n"/>
      <x:c r="P26" s="8" t="n"/>
      <x:c r="Q26" s="8" t="n"/>
      <x:c r="R26" s="8" t="n"/>
      <x:c r="S26" s="8" t="n"/>
      <x:c r="T26" s="8" t="n"/>
      <x:c r="U26" s="8" t="n"/>
      <x:c r="V26" s="8" t="n"/>
      <x:c r="W26" s="8" t="n"/>
      <x:c r="X26" s="8" t="n"/>
      <x:c r="Y26" s="8" t="n"/>
      <x:c r="Z26" s="8" t="n"/>
      <x:c r="AA26" s="8" t="n"/>
      <x:c r="AB26" s="8" t="n"/>
      <x:c r="AC26" s="8" t="n"/>
      <x:c r="AD26" s="8" t="n"/>
      <x:c r="AE26" s="8" t="n"/>
      <x:c r="AF26" s="8" t="n"/>
      <x:c r="AG26" s="8" t="n"/>
      <x:c r="AH26" s="8" t="n"/>
      <x:c r="AI26" s="8" t="n"/>
      <x:c r="AJ26" s="8" t="n"/>
      <x:c r="AK26" s="8" t="n"/>
      <x:c r="AL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  <x:c r="O27" s="3" t="n"/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  <x:c r="AB27" s="3" t="n"/>
      <x:c r="AC27" s="3" t="n"/>
      <x:c r="AD27" s="3" t="n"/>
      <x:c r="AE27" s="3" t="n"/>
      <x:c r="AF27" s="3" t="n"/>
      <x:c r="AG27" s="3" t="n"/>
      <x:c r="AH27" s="3" t="n"/>
      <x:c r="AI27" s="3" t="n"/>
      <x:c r="AJ27" s="3" t="n"/>
      <x:c r="AK27" s="3" t="n"/>
      <x:c r="AL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  <x:c r="K28" s="8" t="n"/>
      <x:c r="L28" s="8" t="n"/>
      <x:c r="M28" s="8" t="n"/>
      <x:c r="N28" s="8" t="n"/>
      <x:c r="O28" s="8" t="n"/>
      <x:c r="P28" s="8" t="n"/>
      <x:c r="Q28" s="8" t="n"/>
      <x:c r="R28" s="8" t="n"/>
      <x:c r="S28" s="8" t="n"/>
      <x:c r="T28" s="8" t="n"/>
      <x:c r="U28" s="8" t="n"/>
      <x:c r="V28" s="8" t="n"/>
      <x:c r="W28" s="8" t="n"/>
      <x:c r="X28" s="8" t="n"/>
      <x:c r="Y28" s="8" t="n"/>
      <x:c r="Z28" s="8" t="n"/>
      <x:c r="AA28" s="8" t="n"/>
      <x:c r="AB28" s="8" t="n"/>
      <x:c r="AC28" s="8" t="n"/>
      <x:c r="AD28" s="8" t="n"/>
      <x:c r="AE28" s="8" t="n"/>
      <x:c r="AF28" s="8" t="n"/>
      <x:c r="AG28" s="8" t="n"/>
      <x:c r="AH28" s="8" t="n"/>
      <x:c r="AI28" s="8" t="n"/>
      <x:c r="AJ28" s="8" t="n"/>
      <x:c r="AK28" s="8" t="n"/>
      <x:c r="AL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  <x:c r="AB29" s="3" t="n"/>
      <x:c r="AC29" s="3" t="n"/>
      <x:c r="AD29" s="3" t="n"/>
      <x:c r="AE29" s="3" t="n"/>
      <x:c r="AF29" s="3" t="n"/>
      <x:c r="AG29" s="3" t="n"/>
      <x:c r="AH29" s="3" t="n"/>
      <x:c r="AI29" s="3" t="n"/>
      <x:c r="AJ29" s="3" t="n"/>
      <x:c r="AK29" s="3" t="n"/>
      <x:c r="AL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  <x:c r="K30" s="8" t="n"/>
      <x:c r="L30" s="8" t="n"/>
      <x:c r="M30" s="8" t="n"/>
      <x:c r="N30" s="8" t="n"/>
      <x:c r="O30" s="8" t="n"/>
      <x:c r="P30" s="8" t="n"/>
      <x:c r="Q30" s="8" t="n"/>
      <x:c r="R30" s="8" t="n"/>
      <x:c r="S30" s="8" t="n"/>
      <x:c r="T30" s="8" t="n"/>
      <x:c r="U30" s="8" t="n"/>
      <x:c r="V30" s="8" t="n"/>
      <x:c r="W30" s="8" t="n"/>
      <x:c r="X30" s="8" t="n"/>
      <x:c r="Y30" s="8" t="n"/>
      <x:c r="Z30" s="8" t="n"/>
      <x:c r="AA30" s="8" t="n"/>
      <x:c r="AB30" s="8" t="n"/>
      <x:c r="AC30" s="8" t="n"/>
      <x:c r="AD30" s="8" t="n"/>
      <x:c r="AE30" s="8" t="n"/>
      <x:c r="AF30" s="8" t="n"/>
      <x:c r="AG30" s="8" t="n"/>
      <x:c r="AH30" s="8" t="n"/>
      <x:c r="AI30" s="8" t="n"/>
      <x:c r="AJ30" s="8" t="n"/>
      <x:c r="AK30" s="8" t="n"/>
      <x:c r="AL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  <x:c r="O31" s="3" t="n"/>
      <x:c r="P31" s="3" t="n"/>
      <x:c r="Q31" s="3" t="n"/>
      <x:c r="R31" s="3" t="n"/>
      <x:c r="S31" s="3" t="n"/>
      <x:c r="T31" s="3" t="n"/>
      <x:c r="U31" s="3" t="n"/>
      <x:c r="V31" s="3" t="n"/>
      <x:c r="W31" s="3" t="n"/>
      <x:c r="X31" s="3" t="n"/>
      <x:c r="Y31" s="3" t="n"/>
      <x:c r="Z31" s="3" t="n"/>
      <x:c r="AA31" s="3" t="n"/>
      <x:c r="AB31" s="3" t="n"/>
      <x:c r="AC31" s="3" t="n"/>
      <x:c r="AD31" s="3" t="n"/>
      <x:c r="AE31" s="3" t="n"/>
      <x:c r="AF31" s="3" t="n"/>
      <x:c r="AG31" s="3" t="n"/>
      <x:c r="AH31" s="3" t="n"/>
      <x:c r="AI31" s="3" t="n"/>
      <x:c r="AJ31" s="3" t="n"/>
      <x:c r="AK31" s="3" t="n"/>
      <x:c r="AL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  <x:c r="K32" s="8" t="n"/>
      <x:c r="L32" s="8" t="n"/>
      <x:c r="M32" s="8" t="n"/>
      <x:c r="N32" s="8" t="n"/>
      <x:c r="O32" s="8" t="n"/>
      <x:c r="P32" s="8" t="n"/>
      <x:c r="Q32" s="8" t="n"/>
      <x:c r="R32" s="8" t="n"/>
      <x:c r="S32" s="8" t="n"/>
      <x:c r="T32" s="8" t="n"/>
      <x:c r="U32" s="8" t="n"/>
      <x:c r="V32" s="8" t="n"/>
      <x:c r="W32" s="8" t="n"/>
      <x:c r="X32" s="8" t="n"/>
      <x:c r="Y32" s="8" t="n"/>
      <x:c r="Z32" s="8" t="n"/>
      <x:c r="AA32" s="8" t="n"/>
      <x:c r="AB32" s="8" t="n"/>
      <x:c r="AC32" s="8" t="n"/>
      <x:c r="AD32" s="8" t="n"/>
      <x:c r="AE32" s="8" t="n"/>
      <x:c r="AF32" s="8" t="n"/>
      <x:c r="AG32" s="8" t="n"/>
      <x:c r="AH32" s="8" t="n"/>
      <x:c r="AI32" s="8" t="n"/>
      <x:c r="AJ32" s="8" t="n"/>
      <x:c r="AK32" s="8" t="n"/>
      <x:c r="AL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  <x:c r="O33" s="3" t="n"/>
      <x:c r="P33" s="3" t="n"/>
      <x:c r="Q33" s="3" t="n"/>
      <x:c r="R33" s="3" t="n"/>
      <x:c r="S33" s="3" t="n"/>
      <x:c r="T33" s="3" t="n"/>
      <x:c r="U33" s="3" t="n"/>
      <x:c r="V33" s="3" t="n"/>
      <x:c r="W33" s="3" t="n"/>
      <x:c r="X33" s="3" t="n"/>
      <x:c r="Y33" s="3" t="n"/>
      <x:c r="Z33" s="3" t="n"/>
      <x:c r="AA33" s="3" t="n"/>
      <x:c r="AB33" s="3" t="n"/>
      <x:c r="AC33" s="3" t="n"/>
      <x:c r="AD33" s="3" t="n"/>
      <x:c r="AE33" s="3" t="n"/>
      <x:c r="AF33" s="3" t="n"/>
      <x:c r="AG33" s="3" t="n"/>
      <x:c r="AH33" s="3" t="n"/>
      <x:c r="AI33" s="3" t="n"/>
      <x:c r="AJ33" s="3" t="n"/>
      <x:c r="AK33" s="3" t="n"/>
      <x:c r="AL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  <x:c r="K34" s="8" t="n"/>
      <x:c r="L34" s="8" t="n"/>
      <x:c r="M34" s="8" t="n"/>
      <x:c r="N34" s="8" t="n"/>
      <x:c r="O34" s="8" t="n"/>
      <x:c r="P34" s="8" t="n"/>
      <x:c r="Q34" s="8" t="n"/>
      <x:c r="R34" s="8" t="n"/>
      <x:c r="S34" s="8" t="n"/>
      <x:c r="T34" s="8" t="n"/>
      <x:c r="U34" s="8" t="n"/>
      <x:c r="V34" s="8" t="n"/>
      <x:c r="W34" s="8" t="n"/>
      <x:c r="X34" s="8" t="n"/>
      <x:c r="Y34" s="8" t="n"/>
      <x:c r="Z34" s="8" t="n"/>
      <x:c r="AA34" s="8" t="n"/>
      <x:c r="AB34" s="8" t="n"/>
      <x:c r="AC34" s="8" t="n"/>
      <x:c r="AD34" s="8" t="n"/>
      <x:c r="AE34" s="8" t="n"/>
      <x:c r="AF34" s="8" t="n"/>
      <x:c r="AG34" s="8" t="n"/>
      <x:c r="AH34" s="8" t="n"/>
      <x:c r="AI34" s="8" t="n"/>
      <x:c r="AJ34" s="8" t="n"/>
      <x:c r="AK34" s="8" t="n"/>
      <x:c r="AL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  <x:c r="O35" s="3" t="n"/>
      <x:c r="P35" s="3" t="n"/>
      <x:c r="Q35" s="3" t="n"/>
      <x:c r="R35" s="3" t="n"/>
      <x:c r="S35" s="3" t="n"/>
      <x:c r="T35" s="3" t="n"/>
      <x:c r="U35" s="3" t="n"/>
      <x:c r="V35" s="3" t="n"/>
      <x:c r="W35" s="3" t="n"/>
      <x:c r="X35" s="3" t="n"/>
      <x:c r="Y35" s="3" t="n"/>
      <x:c r="Z35" s="3" t="n"/>
      <x:c r="AA35" s="3" t="n"/>
      <x:c r="AB35" s="3" t="n"/>
      <x:c r="AC35" s="3" t="n"/>
      <x:c r="AD35" s="3" t="n"/>
      <x:c r="AE35" s="3" t="n"/>
      <x:c r="AF35" s="3" t="n"/>
      <x:c r="AG35" s="3" t="n"/>
      <x:c r="AH35" s="3" t="n"/>
      <x:c r="AI35" s="3" t="n"/>
      <x:c r="AJ35" s="3" t="n"/>
      <x:c r="AK35" s="3" t="n"/>
      <x:c r="AL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  <x:c r="K36" s="8" t="n"/>
      <x:c r="L36" s="8" t="n"/>
      <x:c r="M36" s="8" t="n"/>
      <x:c r="N36" s="8" t="n"/>
      <x:c r="O36" s="8" t="n"/>
      <x:c r="P36" s="8" t="n"/>
      <x:c r="Q36" s="8" t="n"/>
      <x:c r="R36" s="8" t="n"/>
      <x:c r="S36" s="8" t="n"/>
      <x:c r="T36" s="8" t="n"/>
      <x:c r="U36" s="8" t="n"/>
      <x:c r="V36" s="8" t="n"/>
      <x:c r="W36" s="8" t="n"/>
      <x:c r="X36" s="8" t="n"/>
      <x:c r="Y36" s="8" t="n"/>
      <x:c r="Z36" s="8" t="n"/>
      <x:c r="AA36" s="8" t="n"/>
      <x:c r="AB36" s="8" t="n"/>
      <x:c r="AC36" s="8" t="n"/>
      <x:c r="AD36" s="8" t="n"/>
      <x:c r="AE36" s="8" t="n"/>
      <x:c r="AF36" s="8" t="n"/>
      <x:c r="AG36" s="8" t="n"/>
      <x:c r="AH36" s="8" t="n"/>
      <x:c r="AI36" s="8" t="n"/>
      <x:c r="AJ36" s="8" t="n"/>
      <x:c r="AK36" s="8" t="n"/>
      <x:c r="AL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  <x:c r="O37" s="3" t="n"/>
      <x:c r="P37" s="3" t="n"/>
      <x:c r="Q37" s="3" t="n"/>
      <x:c r="R37" s="3" t="n"/>
      <x:c r="S37" s="3" t="n"/>
      <x:c r="T37" s="3" t="n"/>
      <x:c r="U37" s="3" t="n"/>
      <x:c r="V37" s="3" t="n"/>
      <x:c r="W37" s="3" t="n"/>
      <x:c r="X37" s="3" t="n"/>
      <x:c r="Y37" s="3" t="n"/>
      <x:c r="Z37" s="3" t="n"/>
      <x:c r="AA37" s="3" t="n"/>
      <x:c r="AB37" s="3" t="n"/>
      <x:c r="AC37" s="3" t="n"/>
      <x:c r="AD37" s="3" t="n"/>
      <x:c r="AE37" s="3" t="n"/>
      <x:c r="AF37" s="3" t="n"/>
      <x:c r="AG37" s="3" t="n"/>
      <x:c r="AH37" s="3" t="n"/>
      <x:c r="AI37" s="3" t="n"/>
      <x:c r="AJ37" s="3" t="n"/>
      <x:c r="AK37" s="3" t="n"/>
      <x:c r="AL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  <x:c r="K38" s="8" t="n"/>
      <x:c r="L38" s="8" t="n"/>
      <x:c r="M38" s="8" t="n"/>
      <x:c r="N38" s="8" t="n"/>
      <x:c r="O38" s="8" t="n"/>
      <x:c r="P38" s="8" t="n"/>
      <x:c r="Q38" s="8" t="n"/>
      <x:c r="R38" s="8" t="n"/>
      <x:c r="S38" s="8" t="n"/>
      <x:c r="T38" s="8" t="n"/>
      <x:c r="U38" s="8" t="n"/>
      <x:c r="V38" s="8" t="n"/>
      <x:c r="W38" s="8" t="n"/>
      <x:c r="X38" s="8" t="n"/>
      <x:c r="Y38" s="8" t="n"/>
      <x:c r="Z38" s="8" t="n"/>
      <x:c r="AA38" s="8" t="n"/>
      <x:c r="AB38" s="8" t="n"/>
      <x:c r="AC38" s="8" t="n"/>
      <x:c r="AD38" s="8" t="n"/>
      <x:c r="AE38" s="8" t="n"/>
      <x:c r="AF38" s="8" t="n"/>
      <x:c r="AG38" s="8" t="n"/>
      <x:c r="AH38" s="8" t="n"/>
      <x:c r="AI38" s="8" t="n"/>
      <x:c r="AJ38" s="8" t="n"/>
      <x:c r="AK38" s="8" t="n"/>
      <x:c r="AL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  <x:c r="O39" s="3" t="n"/>
      <x:c r="P39" s="3" t="n"/>
      <x:c r="Q39" s="3" t="n"/>
      <x:c r="R39" s="3" t="n"/>
      <x:c r="S39" s="3" t="n"/>
      <x:c r="T39" s="3" t="n"/>
      <x:c r="U39" s="3" t="n"/>
      <x:c r="V39" s="3" t="n"/>
      <x:c r="W39" s="3" t="n"/>
      <x:c r="X39" s="3" t="n"/>
      <x:c r="Y39" s="3" t="n"/>
      <x:c r="Z39" s="3" t="n"/>
      <x:c r="AA39" s="3" t="n"/>
      <x:c r="AB39" s="3" t="n"/>
      <x:c r="AC39" s="3" t="n"/>
      <x:c r="AD39" s="3" t="n"/>
      <x:c r="AE39" s="3" t="n"/>
      <x:c r="AF39" s="3" t="n"/>
      <x:c r="AG39" s="3" t="n"/>
      <x:c r="AH39" s="3" t="n"/>
      <x:c r="AI39" s="3" t="n"/>
      <x:c r="AJ39" s="3" t="n"/>
      <x:c r="AK39" s="3" t="n"/>
      <x:c r="AL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  <x:c r="K40" s="8" t="n"/>
      <x:c r="L40" s="8" t="n"/>
      <x:c r="M40" s="8" t="n"/>
      <x:c r="N40" s="8" t="n"/>
      <x:c r="O40" s="8" t="n"/>
      <x:c r="P40" s="8" t="n"/>
      <x:c r="Q40" s="8" t="n"/>
      <x:c r="R40" s="8" t="n"/>
      <x:c r="S40" s="8" t="n"/>
      <x:c r="T40" s="8" t="n"/>
      <x:c r="U40" s="8" t="n"/>
      <x:c r="V40" s="8" t="n"/>
      <x:c r="W40" s="8" t="n"/>
      <x:c r="X40" s="8" t="n"/>
      <x:c r="Y40" s="8" t="n"/>
      <x:c r="Z40" s="8" t="n"/>
      <x:c r="AA40" s="8" t="n"/>
      <x:c r="AB40" s="8" t="n"/>
      <x:c r="AC40" s="8" t="n"/>
      <x:c r="AD40" s="8" t="n"/>
      <x:c r="AE40" s="8" t="n"/>
      <x:c r="AF40" s="8" t="n"/>
      <x:c r="AG40" s="8" t="n"/>
      <x:c r="AH40" s="8" t="n"/>
      <x:c r="AI40" s="8" t="n"/>
      <x:c r="AJ40" s="8" t="n"/>
      <x:c r="AK40" s="8" t="n"/>
      <x:c r="AL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  <x:c r="O41" s="3" t="n"/>
      <x:c r="P41" s="3" t="n"/>
      <x:c r="Q41" s="3" t="n"/>
      <x:c r="R41" s="3" t="n"/>
      <x:c r="S41" s="3" t="n"/>
      <x:c r="T41" s="3" t="n"/>
      <x:c r="U41" s="3" t="n"/>
      <x:c r="V41" s="3" t="n"/>
      <x:c r="W41" s="3" t="n"/>
      <x:c r="X41" s="3" t="n"/>
      <x:c r="Y41" s="3" t="n"/>
      <x:c r="Z41" s="3" t="n"/>
      <x:c r="AA41" s="3" t="n"/>
      <x:c r="AB41" s="3" t="n"/>
      <x:c r="AC41" s="3" t="n"/>
      <x:c r="AD41" s="3" t="n"/>
      <x:c r="AE41" s="3" t="n"/>
      <x:c r="AF41" s="3" t="n"/>
      <x:c r="AG41" s="3" t="n"/>
      <x:c r="AH41" s="3" t="n"/>
      <x:c r="AI41" s="3" t="n"/>
      <x:c r="AJ41" s="3" t="n"/>
      <x:c r="AK41" s="3" t="n"/>
      <x:c r="AL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  <x:c r="J42" s="8" t="n"/>
      <x:c r="K42" s="8" t="n"/>
      <x:c r="L42" s="8" t="n"/>
      <x:c r="M42" s="8" t="n"/>
      <x:c r="N42" s="8" t="n"/>
      <x:c r="O42" s="8" t="n"/>
      <x:c r="P42" s="8" t="n"/>
      <x:c r="Q42" s="8" t="n"/>
      <x:c r="R42" s="8" t="n"/>
      <x:c r="S42" s="8" t="n"/>
      <x:c r="T42" s="8" t="n"/>
      <x:c r="U42" s="8" t="n"/>
      <x:c r="V42" s="8" t="n"/>
      <x:c r="W42" s="8" t="n"/>
      <x:c r="X42" s="8" t="n"/>
      <x:c r="Y42" s="8" t="n"/>
      <x:c r="Z42" s="8" t="n"/>
      <x:c r="AA42" s="8" t="n"/>
      <x:c r="AB42" s="8" t="n"/>
      <x:c r="AC42" s="8" t="n"/>
      <x:c r="AD42" s="8" t="n"/>
      <x:c r="AE42" s="8" t="n"/>
      <x:c r="AF42" s="8" t="n"/>
      <x:c r="AG42" s="8" t="n"/>
      <x:c r="AH42" s="8" t="n"/>
      <x:c r="AI42" s="8" t="n"/>
      <x:c r="AJ42" s="8" t="n"/>
      <x:c r="AK42" s="8" t="n"/>
      <x:c r="AL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  <x:c r="K43" s="3" t="n"/>
      <x:c r="L43" s="3" t="n"/>
      <x:c r="M43" s="3" t="n"/>
      <x:c r="N43" s="3" t="n"/>
      <x:c r="O43" s="3" t="n"/>
      <x:c r="P43" s="3" t="n"/>
      <x:c r="Q43" s="3" t="n"/>
      <x:c r="R43" s="3" t="n"/>
      <x:c r="S43" s="3" t="n"/>
      <x:c r="T43" s="3" t="n"/>
      <x:c r="U43" s="3" t="n"/>
      <x:c r="V43" s="3" t="n"/>
      <x:c r="W43" s="3" t="n"/>
      <x:c r="X43" s="3" t="n"/>
      <x:c r="Y43" s="3" t="n"/>
      <x:c r="Z43" s="3" t="n"/>
      <x:c r="AA43" s="3" t="n"/>
      <x:c r="AB43" s="3" t="n"/>
      <x:c r="AC43" s="3" t="n"/>
      <x:c r="AD43" s="3" t="n"/>
      <x:c r="AE43" s="3" t="n"/>
      <x:c r="AF43" s="3" t="n"/>
      <x:c r="AG43" s="3" t="n"/>
      <x:c r="AH43" s="3" t="n"/>
      <x:c r="AI43" s="3" t="n"/>
      <x:c r="AJ43" s="3" t="n"/>
      <x:c r="AK43" s="3" t="n"/>
      <x:c r="AL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  <x:c r="J44" s="8" t="n"/>
      <x:c r="K44" s="8" t="n"/>
      <x:c r="L44" s="8" t="n"/>
      <x:c r="M44" s="8" t="n"/>
      <x:c r="N44" s="8" t="n"/>
      <x:c r="O44" s="8" t="n"/>
      <x:c r="P44" s="8" t="n"/>
      <x:c r="Q44" s="8" t="n"/>
      <x:c r="R44" s="8" t="n"/>
      <x:c r="S44" s="8" t="n"/>
      <x:c r="T44" s="8" t="n"/>
      <x:c r="U44" s="8" t="n"/>
      <x:c r="V44" s="8" t="n"/>
      <x:c r="W44" s="8" t="n"/>
      <x:c r="X44" s="8" t="n"/>
      <x:c r="Y44" s="8" t="n"/>
      <x:c r="Z44" s="8" t="n"/>
      <x:c r="AA44" s="8" t="n"/>
      <x:c r="AB44" s="8" t="n"/>
      <x:c r="AC44" s="8" t="n"/>
      <x:c r="AD44" s="8" t="n"/>
      <x:c r="AE44" s="8" t="n"/>
      <x:c r="AF44" s="8" t="n"/>
      <x:c r="AG44" s="8" t="n"/>
      <x:c r="AH44" s="8" t="n"/>
      <x:c r="AI44" s="8" t="n"/>
      <x:c r="AJ44" s="8" t="n"/>
      <x:c r="AK44" s="8" t="n"/>
      <x:c r="AL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  <x:c r="K45" s="3" t="n"/>
      <x:c r="L45" s="3" t="n"/>
      <x:c r="M45" s="3" t="n"/>
      <x:c r="N45" s="3" t="n"/>
      <x:c r="O45" s="3" t="n"/>
      <x:c r="P45" s="3" t="n"/>
      <x:c r="Q45" s="3" t="n"/>
      <x:c r="R45" s="3" t="n"/>
      <x:c r="S45" s="3" t="n"/>
      <x:c r="T45" s="3" t="n"/>
      <x:c r="U45" s="3" t="n"/>
      <x:c r="V45" s="3" t="n"/>
      <x:c r="W45" s="3" t="n"/>
      <x:c r="X45" s="3" t="n"/>
      <x:c r="Y45" s="3" t="n"/>
      <x:c r="Z45" s="3" t="n"/>
      <x:c r="AA45" s="3" t="n"/>
      <x:c r="AB45" s="3" t="n"/>
      <x:c r="AC45" s="3" t="n"/>
      <x:c r="AD45" s="3" t="n"/>
      <x:c r="AE45" s="3" t="n"/>
      <x:c r="AF45" s="3" t="n"/>
      <x:c r="AG45" s="3" t="n"/>
      <x:c r="AH45" s="3" t="n"/>
      <x:c r="AI45" s="3" t="n"/>
      <x:c r="AJ45" s="3" t="n"/>
      <x:c r="AK45" s="3" t="n"/>
      <x:c r="AL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  <x:c r="J46" s="8" t="n"/>
      <x:c r="K46" s="8" t="n"/>
      <x:c r="L46" s="8" t="n"/>
      <x:c r="M46" s="8" t="n"/>
      <x:c r="N46" s="8" t="n"/>
      <x:c r="O46" s="8" t="n"/>
      <x:c r="P46" s="8" t="n"/>
      <x:c r="Q46" s="8" t="n"/>
      <x:c r="R46" s="8" t="n"/>
      <x:c r="S46" s="8" t="n"/>
      <x:c r="T46" s="8" t="n"/>
      <x:c r="U46" s="8" t="n"/>
      <x:c r="V46" s="8" t="n"/>
      <x:c r="W46" s="8" t="n"/>
      <x:c r="X46" s="8" t="n"/>
      <x:c r="Y46" s="8" t="n"/>
      <x:c r="Z46" s="8" t="n"/>
      <x:c r="AA46" s="8" t="n"/>
      <x:c r="AB46" s="8" t="n"/>
      <x:c r="AC46" s="8" t="n"/>
      <x:c r="AD46" s="8" t="n"/>
      <x:c r="AE46" s="8" t="n"/>
      <x:c r="AF46" s="8" t="n"/>
      <x:c r="AG46" s="8" t="n"/>
      <x:c r="AH46" s="8" t="n"/>
      <x:c r="AI46" s="8" t="n"/>
      <x:c r="AJ46" s="8" t="n"/>
      <x:c r="AK46" s="8" t="n"/>
      <x:c r="AL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  <x:c r="K47" s="3" t="n"/>
      <x:c r="L47" s="3" t="n"/>
      <x:c r="M47" s="3" t="n"/>
      <x:c r="N47" s="3" t="n"/>
      <x:c r="O47" s="3" t="n"/>
      <x:c r="P47" s="3" t="n"/>
      <x:c r="Q47" s="3" t="n"/>
      <x:c r="R47" s="3" t="n"/>
      <x:c r="S47" s="3" t="n"/>
      <x:c r="T47" s="3" t="n"/>
      <x:c r="U47" s="3" t="n"/>
      <x:c r="V47" s="3" t="n"/>
      <x:c r="W47" s="3" t="n"/>
      <x:c r="X47" s="3" t="n"/>
      <x:c r="Y47" s="3" t="n"/>
      <x:c r="Z47" s="3" t="n"/>
      <x:c r="AA47" s="3" t="n"/>
      <x:c r="AB47" s="3" t="n"/>
      <x:c r="AC47" s="3" t="n"/>
      <x:c r="AD47" s="3" t="n"/>
      <x:c r="AE47" s="3" t="n"/>
      <x:c r="AF47" s="3" t="n"/>
      <x:c r="AG47" s="3" t="n"/>
      <x:c r="AH47" s="3" t="n"/>
      <x:c r="AI47" s="3" t="n"/>
      <x:c r="AJ47" s="3" t="n"/>
      <x:c r="AK47" s="3" t="n"/>
      <x:c r="AL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  <x:c r="J48" s="8" t="n"/>
      <x:c r="K48" s="8" t="n"/>
      <x:c r="L48" s="8" t="n"/>
      <x:c r="M48" s="8" t="n"/>
      <x:c r="N48" s="8" t="n"/>
      <x:c r="O48" s="8" t="n"/>
      <x:c r="P48" s="8" t="n"/>
      <x:c r="Q48" s="8" t="n"/>
      <x:c r="R48" s="8" t="n"/>
      <x:c r="S48" s="8" t="n"/>
      <x:c r="T48" s="8" t="n"/>
      <x:c r="U48" s="8" t="n"/>
      <x:c r="V48" s="8" t="n"/>
      <x:c r="W48" s="8" t="n"/>
      <x:c r="X48" s="8" t="n"/>
      <x:c r="Y48" s="8" t="n"/>
      <x:c r="Z48" s="8" t="n"/>
      <x:c r="AA48" s="8" t="n"/>
      <x:c r="AB48" s="8" t="n"/>
      <x:c r="AC48" s="8" t="n"/>
      <x:c r="AD48" s="8" t="n"/>
      <x:c r="AE48" s="8" t="n"/>
      <x:c r="AF48" s="8" t="n"/>
      <x:c r="AG48" s="8" t="n"/>
      <x:c r="AH48" s="8" t="n"/>
      <x:c r="AI48" s="8" t="n"/>
      <x:c r="AJ48" s="8" t="n"/>
      <x:c r="AK48" s="8" t="n"/>
      <x:c r="AL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  <x:c r="K49" s="3" t="n"/>
      <x:c r="L49" s="3" t="n"/>
      <x:c r="M49" s="3" t="n"/>
      <x:c r="N49" s="3" t="n"/>
      <x:c r="O49" s="3" t="n"/>
      <x:c r="P49" s="3" t="n"/>
      <x:c r="Q49" s="3" t="n"/>
      <x:c r="R49" s="3" t="n"/>
      <x:c r="S49" s="3" t="n"/>
      <x:c r="T49" s="3" t="n"/>
      <x:c r="U49" s="3" t="n"/>
      <x:c r="V49" s="3" t="n"/>
      <x:c r="W49" s="3" t="n"/>
      <x:c r="X49" s="3" t="n"/>
      <x:c r="Y49" s="3" t="n"/>
      <x:c r="Z49" s="3" t="n"/>
      <x:c r="AA49" s="3" t="n"/>
      <x:c r="AB49" s="3" t="n"/>
      <x:c r="AC49" s="3" t="n"/>
      <x:c r="AD49" s="3" t="n"/>
      <x:c r="AE49" s="3" t="n"/>
      <x:c r="AF49" s="3" t="n"/>
      <x:c r="AG49" s="3" t="n"/>
      <x:c r="AH49" s="3" t="n"/>
      <x:c r="AI49" s="3" t="n"/>
      <x:c r="AJ49" s="3" t="n"/>
      <x:c r="AK49" s="3" t="n"/>
      <x:c r="AL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  <x:c r="K50" s="8" t="n"/>
      <x:c r="L50" s="8" t="n"/>
      <x:c r="M50" s="8" t="n"/>
      <x:c r="N50" s="8" t="n"/>
      <x:c r="O50" s="8" t="n"/>
      <x:c r="P50" s="8" t="n"/>
      <x:c r="Q50" s="8" t="n"/>
      <x:c r="R50" s="8" t="n"/>
      <x:c r="S50" s="8" t="n"/>
      <x:c r="T50" s="8" t="n"/>
      <x:c r="U50" s="8" t="n"/>
      <x:c r="V50" s="8" t="n"/>
      <x:c r="W50" s="8" t="n"/>
      <x:c r="X50" s="8" t="n"/>
      <x:c r="Y50" s="8" t="n"/>
      <x:c r="Z50" s="8" t="n"/>
      <x:c r="AA50" s="8" t="n"/>
      <x:c r="AB50" s="8" t="n"/>
      <x:c r="AC50" s="8" t="n"/>
      <x:c r="AD50" s="8" t="n"/>
      <x:c r="AE50" s="8" t="n"/>
      <x:c r="AF50" s="8" t="n"/>
      <x:c r="AG50" s="8" t="n"/>
      <x:c r="AH50" s="8" t="n"/>
      <x:c r="AI50" s="8" t="n"/>
      <x:c r="AJ50" s="8" t="n"/>
      <x:c r="AK50" s="8" t="n"/>
      <x:c r="AL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  <x:c r="K51" s="3" t="n"/>
      <x:c r="L51" s="3" t="n"/>
      <x:c r="M51" s="3" t="n"/>
      <x:c r="N51" s="3" t="n"/>
      <x:c r="O51" s="3" t="n"/>
      <x:c r="P51" s="3" t="n"/>
      <x:c r="Q51" s="3" t="n"/>
      <x:c r="R51" s="3" t="n"/>
      <x:c r="S51" s="3" t="n"/>
      <x:c r="T51" s="3" t="n"/>
      <x:c r="U51" s="3" t="n"/>
      <x:c r="V51" s="3" t="n"/>
      <x:c r="W51" s="3" t="n"/>
      <x:c r="X51" s="3" t="n"/>
      <x:c r="Y51" s="3" t="n"/>
      <x:c r="Z51" s="3" t="n"/>
      <x:c r="AA51" s="3" t="n"/>
      <x:c r="AB51" s="3" t="n"/>
      <x:c r="AC51" s="3" t="n"/>
      <x:c r="AD51" s="3" t="n"/>
      <x:c r="AE51" s="3" t="n"/>
      <x:c r="AF51" s="3" t="n"/>
      <x:c r="AG51" s="3" t="n"/>
      <x:c r="AH51" s="3" t="n"/>
      <x:c r="AI51" s="3" t="n"/>
      <x:c r="AJ51" s="3" t="n"/>
      <x:c r="AK51" s="3" t="n"/>
      <x:c r="AL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  <x:c r="K52" s="8" t="n"/>
      <x:c r="L52" s="8" t="n"/>
      <x:c r="M52" s="8" t="n"/>
      <x:c r="N52" s="8" t="n"/>
      <x:c r="O52" s="8" t="n"/>
      <x:c r="P52" s="8" t="n"/>
      <x:c r="Q52" s="8" t="n"/>
      <x:c r="R52" s="8" t="n"/>
      <x:c r="S52" s="8" t="n"/>
      <x:c r="T52" s="8" t="n"/>
      <x:c r="U52" s="8" t="n"/>
      <x:c r="V52" s="8" t="n"/>
      <x:c r="W52" s="8" t="n"/>
      <x:c r="X52" s="8" t="n"/>
      <x:c r="Y52" s="8" t="n"/>
      <x:c r="Z52" s="8" t="n"/>
      <x:c r="AA52" s="8" t="n"/>
      <x:c r="AB52" s="8" t="n"/>
      <x:c r="AC52" s="8" t="n"/>
      <x:c r="AD52" s="8" t="n"/>
      <x:c r="AE52" s="8" t="n"/>
      <x:c r="AF52" s="8" t="n"/>
      <x:c r="AG52" s="8" t="n"/>
      <x:c r="AH52" s="8" t="n"/>
      <x:c r="AI52" s="8" t="n"/>
      <x:c r="AJ52" s="8" t="n"/>
      <x:c r="AK52" s="8" t="n"/>
      <x:c r="AL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  <x:c r="K53" s="3" t="n"/>
      <x:c r="L53" s="3" t="n"/>
      <x:c r="M53" s="3" t="n"/>
      <x:c r="N53" s="3" t="n"/>
      <x:c r="O53" s="3" t="n"/>
      <x:c r="P53" s="3" t="n"/>
      <x:c r="Q53" s="3" t="n"/>
      <x:c r="R53" s="3" t="n"/>
      <x:c r="S53" s="3" t="n"/>
      <x:c r="T53" s="3" t="n"/>
      <x:c r="U53" s="3" t="n"/>
      <x:c r="V53" s="3" t="n"/>
      <x:c r="W53" s="3" t="n"/>
      <x:c r="X53" s="3" t="n"/>
      <x:c r="Y53" s="3" t="n"/>
      <x:c r="Z53" s="3" t="n"/>
      <x:c r="AA53" s="3" t="n"/>
      <x:c r="AB53" s="3" t="n"/>
      <x:c r="AC53" s="3" t="n"/>
      <x:c r="AD53" s="3" t="n"/>
      <x:c r="AE53" s="3" t="n"/>
      <x:c r="AF53" s="3" t="n"/>
      <x:c r="AG53" s="3" t="n"/>
      <x:c r="AH53" s="3" t="n"/>
      <x:c r="AI53" s="3" t="n"/>
      <x:c r="AJ53" s="3" t="n"/>
      <x:c r="AK53" s="3" t="n"/>
      <x:c r="AL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  <x:c r="K54" s="8" t="n"/>
      <x:c r="L54" s="8" t="n"/>
      <x:c r="M54" s="8" t="n"/>
      <x:c r="N54" s="8" t="n"/>
      <x:c r="O54" s="8" t="n"/>
      <x:c r="P54" s="8" t="n"/>
      <x:c r="Q54" s="8" t="n"/>
      <x:c r="R54" s="8" t="n"/>
      <x:c r="S54" s="8" t="n"/>
      <x:c r="T54" s="8" t="n"/>
      <x:c r="U54" s="8" t="n"/>
      <x:c r="V54" s="8" t="n"/>
      <x:c r="W54" s="8" t="n"/>
      <x:c r="X54" s="8" t="n"/>
      <x:c r="Y54" s="8" t="n"/>
      <x:c r="Z54" s="8" t="n"/>
      <x:c r="AA54" s="8" t="n"/>
      <x:c r="AB54" s="8" t="n"/>
      <x:c r="AC54" s="8" t="n"/>
      <x:c r="AD54" s="8" t="n"/>
      <x:c r="AE54" s="8" t="n"/>
      <x:c r="AF54" s="8" t="n"/>
      <x:c r="AG54" s="8" t="n"/>
      <x:c r="AH54" s="8" t="n"/>
      <x:c r="AI54" s="8" t="n"/>
      <x:c r="AJ54" s="8" t="n"/>
      <x:c r="AK54" s="8" t="n"/>
      <x:c r="AL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  <x:c r="K55" s="3" t="n"/>
      <x:c r="L55" s="3" t="n"/>
      <x:c r="M55" s="3" t="n"/>
      <x:c r="N55" s="3" t="n"/>
      <x:c r="O55" s="3" t="n"/>
      <x:c r="P55" s="3" t="n"/>
      <x:c r="Q55" s="3" t="n"/>
      <x:c r="R55" s="3" t="n"/>
      <x:c r="S55" s="3" t="n"/>
      <x:c r="T55" s="3" t="n"/>
      <x:c r="U55" s="3" t="n"/>
      <x:c r="V55" s="3" t="n"/>
      <x:c r="W55" s="3" t="n"/>
      <x:c r="X55" s="3" t="n"/>
      <x:c r="Y55" s="3" t="n"/>
      <x:c r="Z55" s="3" t="n"/>
      <x:c r="AA55" s="3" t="n"/>
      <x:c r="AB55" s="3" t="n"/>
      <x:c r="AC55" s="3" t="n"/>
      <x:c r="AD55" s="3" t="n"/>
      <x:c r="AE55" s="3" t="n"/>
      <x:c r="AF55" s="3" t="n"/>
      <x:c r="AG55" s="3" t="n"/>
      <x:c r="AH55" s="3" t="n"/>
      <x:c r="AI55" s="3" t="n"/>
      <x:c r="AJ55" s="3" t="n"/>
      <x:c r="AK55" s="3" t="n"/>
      <x:c r="AL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  <x:c r="K56" s="8" t="n"/>
      <x:c r="L56" s="8" t="n"/>
      <x:c r="M56" s="8" t="n"/>
      <x:c r="N56" s="8" t="n"/>
      <x:c r="O56" s="8" t="n"/>
      <x:c r="P56" s="8" t="n"/>
      <x:c r="Q56" s="8" t="n"/>
      <x:c r="R56" s="8" t="n"/>
      <x:c r="S56" s="8" t="n"/>
      <x:c r="T56" s="8" t="n"/>
      <x:c r="U56" s="8" t="n"/>
      <x:c r="V56" s="8" t="n"/>
      <x:c r="W56" s="8" t="n"/>
      <x:c r="X56" s="8" t="n"/>
      <x:c r="Y56" s="8" t="n"/>
      <x:c r="Z56" s="8" t="n"/>
      <x:c r="AA56" s="8" t="n"/>
      <x:c r="AB56" s="8" t="n"/>
      <x:c r="AC56" s="8" t="n"/>
      <x:c r="AD56" s="8" t="n"/>
      <x:c r="AE56" s="8" t="n"/>
      <x:c r="AF56" s="8" t="n"/>
      <x:c r="AG56" s="8" t="n"/>
      <x:c r="AH56" s="8" t="n"/>
      <x:c r="AI56" s="8" t="n"/>
      <x:c r="AJ56" s="8" t="n"/>
      <x:c r="AK56" s="8" t="n"/>
      <x:c r="AL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  <x:c r="K57" s="3" t="n"/>
      <x:c r="L57" s="3" t="n"/>
      <x:c r="M57" s="3" t="n"/>
      <x:c r="N57" s="3" t="n"/>
      <x:c r="O57" s="3" t="n"/>
      <x:c r="P57" s="3" t="n"/>
      <x:c r="Q57" s="3" t="n"/>
      <x:c r="R57" s="3" t="n"/>
      <x:c r="S57" s="3" t="n"/>
      <x:c r="T57" s="3" t="n"/>
      <x:c r="U57" s="3" t="n"/>
      <x:c r="V57" s="3" t="n"/>
      <x:c r="W57" s="3" t="n"/>
      <x:c r="X57" s="3" t="n"/>
      <x:c r="Y57" s="3" t="n"/>
      <x:c r="Z57" s="3" t="n"/>
      <x:c r="AA57" s="3" t="n"/>
      <x:c r="AB57" s="3" t="n"/>
      <x:c r="AC57" s="3" t="n"/>
      <x:c r="AD57" s="3" t="n"/>
      <x:c r="AE57" s="3" t="n"/>
      <x:c r="AF57" s="3" t="n"/>
      <x:c r="AG57" s="3" t="n"/>
      <x:c r="AH57" s="3" t="n"/>
      <x:c r="AI57" s="3" t="n"/>
      <x:c r="AJ57" s="3" t="n"/>
      <x:c r="AK57" s="3" t="n"/>
      <x:c r="AL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  <x:c r="K58" s="8" t="n"/>
      <x:c r="L58" s="8" t="n"/>
      <x:c r="M58" s="8" t="n"/>
      <x:c r="N58" s="8" t="n"/>
      <x:c r="O58" s="8" t="n"/>
      <x:c r="P58" s="8" t="n"/>
      <x:c r="Q58" s="8" t="n"/>
      <x:c r="R58" s="8" t="n"/>
      <x:c r="S58" s="8" t="n"/>
      <x:c r="T58" s="8" t="n"/>
      <x:c r="U58" s="8" t="n"/>
      <x:c r="V58" s="8" t="n"/>
      <x:c r="W58" s="8" t="n"/>
      <x:c r="X58" s="8" t="n"/>
      <x:c r="Y58" s="8" t="n"/>
      <x:c r="Z58" s="8" t="n"/>
      <x:c r="AA58" s="8" t="n"/>
      <x:c r="AB58" s="8" t="n"/>
      <x:c r="AC58" s="8" t="n"/>
      <x:c r="AD58" s="8" t="n"/>
      <x:c r="AE58" s="8" t="n"/>
      <x:c r="AF58" s="8" t="n"/>
      <x:c r="AG58" s="8" t="n"/>
      <x:c r="AH58" s="8" t="n"/>
      <x:c r="AI58" s="8" t="n"/>
      <x:c r="AJ58" s="8" t="n"/>
      <x:c r="AK58" s="8" t="n"/>
      <x:c r="AL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  <x:c r="AB59" s="3" t="n"/>
      <x:c r="AC59" s="3" t="n"/>
      <x:c r="AD59" s="3" t="n"/>
      <x:c r="AE59" s="3" t="n"/>
      <x:c r="AF59" s="3" t="n"/>
      <x:c r="AG59" s="3" t="n"/>
      <x:c r="AH59" s="3" t="n"/>
      <x:c r="AI59" s="3" t="n"/>
      <x:c r="AJ59" s="3" t="n"/>
      <x:c r="AK59" s="3" t="n"/>
      <x:c r="AL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  <x:c r="K60" s="8" t="n"/>
      <x:c r="L60" s="8" t="n"/>
      <x:c r="M60" s="8" t="n"/>
      <x:c r="N60" s="8" t="n"/>
      <x:c r="O60" s="8" t="n"/>
      <x:c r="P60" s="8" t="n"/>
      <x:c r="Q60" s="8" t="n"/>
      <x:c r="R60" s="8" t="n"/>
      <x:c r="S60" s="8" t="n"/>
      <x:c r="T60" s="8" t="n"/>
      <x:c r="U60" s="8" t="n"/>
      <x:c r="V60" s="8" t="n"/>
      <x:c r="W60" s="8" t="n"/>
      <x:c r="X60" s="8" t="n"/>
      <x:c r="Y60" s="8" t="n"/>
      <x:c r="Z60" s="8" t="n"/>
      <x:c r="AA60" s="8" t="n"/>
      <x:c r="AB60" s="8" t="n"/>
      <x:c r="AC60" s="8" t="n"/>
      <x:c r="AD60" s="8" t="n"/>
      <x:c r="AE60" s="8" t="n"/>
      <x:c r="AF60" s="8" t="n"/>
      <x:c r="AG60" s="8" t="n"/>
      <x:c r="AH60" s="8" t="n"/>
      <x:c r="AI60" s="8" t="n"/>
      <x:c r="AJ60" s="8" t="n"/>
      <x:c r="AK60" s="8" t="n"/>
      <x:c r="AL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  <x:c r="AB61" s="3" t="n"/>
      <x:c r="AC61" s="3" t="n"/>
      <x:c r="AD61" s="3" t="n"/>
      <x:c r="AE61" s="3" t="n"/>
      <x:c r="AF61" s="3" t="n"/>
      <x:c r="AG61" s="3" t="n"/>
      <x:c r="AH61" s="3" t="n"/>
      <x:c r="AI61" s="3" t="n"/>
      <x:c r="AJ61" s="3" t="n"/>
      <x:c r="AK61" s="3" t="n"/>
      <x:c r="AL61" s="3" t="n"/>
    </x:row>
  </x:sheetData>
  <x:mergeCells>
    <x:mergeCell ref="A1:AL1"/>
  </x:mergeCells>
  <x:dataValidations count="3">
    <x:dataValidation type="list" allowBlank="1" showDropDown="0" showInputMessage="0" showErrorMessage="0" sqref="A3:A1000">
      <x:formula1>=List_Study_ID</x:formula1>
    </x:dataValidation>
    <x:dataValidation type="list" allowBlank="1" showDropDown="0" showInputMessage="0" showErrorMessage="0" sqref="D3:D1000">
      <x:formula1>=List_Study_Review_Disposition</x:formula1>
    </x:dataValidation>
    <x:dataValidation type="list" allowBlank="1" showDropDown="0" showInputMessage="0" showErrorMessage="0" sqref="E3:E1000">
      <x:formula1>=List_Study_Eligibility_Status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08ece8a5cc4fa9"/>
  </x:tableParts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32" customWidth="1"/>
    <x:col min="2" max="2" width="20" customWidth="1"/>
    <x:col min="3" max="3" width="24" customWidth="1"/>
    <x:col min="4" max="4" width="14" customWidth="1"/>
    <x:col min="5" max="5" width="24" customWidth="1"/>
    <x:col min="6" max="6" width="40" customWidth="1"/>
    <x:col min="7" max="7" width="32" customWidth="1"/>
    <x:col min="8" max="8" width="24" customWidth="1"/>
    <x:col min="9" max="9" width="20" customWidth="1"/>
    <x:col min="10" max="10" width="34" customWidth="1"/>
  </x:cols>
  <x:sheetData>
    <x:row r="1">
      <x:c r="A1" s="9" t="inlineStr">
        <x:is>
          <x:t xml:space="preserve">Workbook Artifact Registry Snapshot</x:t>
        </x:is>
      </x:c>
    </x:row>
    <x:row r="2">
      <x:c r="A2" s="7" t="inlineStr">
        <x:is>
          <x:t xml:space="preserve">artifact_id</x:t>
        </x:is>
      </x:c>
      <x:c r="B2" s="7" t="inlineStr">
        <x:is>
          <x:t xml:space="preserve">artifact_type</x:t>
        </x:is>
      </x:c>
      <x:c r="C2" s="7" t="inlineStr">
        <x:is>
          <x:t xml:space="preserve">run_id</x:t>
        </x:is>
      </x:c>
      <x:c r="D2" s="7" t="inlineStr">
        <x:is>
          <x:t xml:space="preserve">status</x:t>
        </x:is>
      </x:c>
      <x:c r="E2" s="7" t="inlineStr">
        <x:is>
          <x:t xml:space="preserve">created_at</x:t>
        </x:is>
      </x:c>
      <x:c r="F2" s="7" t="inlineStr">
        <x:is>
          <x:t xml:space="preserve">path</x:t>
        </x:is>
      </x:c>
      <x:c r="G2" s="7" t="inlineStr">
        <x:is>
          <x:t xml:space="preserve">upstream_artifact_ids</x:t>
        </x:is>
      </x:c>
      <x:c r="H2" s="7" t="inlineStr">
        <x:is>
          <x:t xml:space="preserve">config_hash</x:t>
        </x:is>
      </x:c>
      <x:c r="I2" s="7" t="inlineStr">
        <x:is>
          <x:t xml:space="preserve">code_ref</x:t>
        </x:is>
      </x:c>
      <x:c r="J2" s="7" t="inlineStr">
        <x:is>
          <x:t xml:space="preserve">notes</x:t>
        </x:is>
      </x:c>
    </x:row>
    <x:row r="3">
      <x:c r="A3" s="3" t="inlineStr">
        <x:is>
          <x:t xml:space="preserve"/>
        </x:is>
      </x:c>
      <x:c r="B3" s="3" t="inlineStr">
        <x:is>
          <x:t xml:space="preserve"/>
        </x:is>
      </x:c>
      <x:c r="C3" s="3" t="inlineStr">
        <x:is>
          <x:t xml:space="preserve"/>
        </x:is>
      </x:c>
      <x:c r="D3" s="3" t="inlineStr">
        <x:is>
          <x:t xml:space="preserve"/>
        </x:is>
      </x:c>
      <x:c r="E3" s="3" t="inlineStr">
        <x:is>
          <x:t xml:space="preserve"/>
        </x:is>
      </x:c>
      <x:c r="F3" s="3" t="inlineStr">
        <x:is>
          <x:t xml:space="preserve"/>
        </x:is>
      </x:c>
      <x:c r="G3" s="3" t="inlineStr">
        <x:is>
          <x:t xml:space="preserve"/>
        </x:is>
      </x:c>
      <x:c r="H3" s="3" t="inlineStr">
        <x:is>
          <x:t xml:space="preserve"/>
        </x:is>
      </x:c>
      <x:c r="I3" s="3" t="inlineStr">
        <x:is>
          <x:t xml:space="preserve"/>
        </x:is>
      </x:c>
      <x:c r="J3" s="3" t="inlineStr">
        <x:is>
          <x:t xml:space="preserve">Optional workbook mirror of machine registry for audit snapshots.</x:t>
        </x:is>
      </x:c>
    </x:row>
    <x:row r="4">
      <x:c r="A4" s="8" t="n"/>
      <x:c r="B4" s="8" t="n"/>
      <x:c r="C4" s="8" t="n"/>
      <x:c r="D4" s="8" t="n"/>
      <x:c r="E4" s="8" t="n"/>
      <x:c r="F4" s="8" t="n"/>
      <x:c r="G4" s="8" t="n"/>
      <x:c r="H4" s="8" t="n"/>
      <x:c r="I4" s="8" t="n"/>
      <x:c r="J4" s="8" t="n"/>
    </x:row>
    <x:row r="5">
      <x:c r="A5" s="3" t="n"/>
      <x:c r="B5" s="3" t="n"/>
      <x:c r="C5" s="3" t="n"/>
      <x:c r="D5" s="3" t="n"/>
      <x:c r="E5" s="3" t="n"/>
      <x:c r="F5" s="3" t="n"/>
      <x:c r="G5" s="3" t="n"/>
      <x:c r="H5" s="3" t="n"/>
      <x:c r="I5" s="3" t="n"/>
      <x:c r="J5" s="3" t="n"/>
    </x:row>
    <x:row r="6">
      <x:c r="A6" s="8" t="n"/>
      <x:c r="B6" s="8" t="n"/>
      <x:c r="C6" s="8" t="n"/>
      <x:c r="D6" s="8" t="n"/>
      <x:c r="E6" s="8" t="n"/>
      <x:c r="F6" s="8" t="n"/>
      <x:c r="G6" s="8" t="n"/>
      <x:c r="H6" s="8" t="n"/>
      <x:c r="I6" s="8" t="n"/>
      <x:c r="J6" s="8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  <x:c r="J7" s="3" t="n"/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  <x:c r="I8" s="8" t="n"/>
      <x:c r="J8" s="8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  <x:c r="J9" s="3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  <x:c r="I10" s="8" t="n"/>
      <x:c r="J10" s="8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  <x:c r="J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  <x:c r="J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  <x:c r="J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  <x:c r="J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  <x:c r="J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  <x:c r="J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1c363ccad1074332"/>
  </x:tableParts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22" hidden="0" customWidth="1"/>
    <x:col min="2" max="2" width="34" hidden="0" customWidth="1"/>
    <x:col min="3" max="3" width="12" hidden="0" customWidth="1"/>
    <x:col min="4" max="4" width="12" hidden="0" customWidth="1"/>
    <x:col min="5" max="5" width="14" hidden="0" customWidth="1"/>
    <x:col min="6" max="6" width="12" hidden="0" customWidth="1"/>
    <x:col min="7" max="7" width="46" hidden="0" customWidth="1"/>
  </x:cols>
  <x:sheetData>
    <x:row r="1">
      <x:c r="A1" s="28" t="str">
        <x:v>Fixed Configurations and Locks</x:v>
      </x:c>
      <x:c r="B1" s="20"/>
      <x:c r="C1" s="20"/>
      <x:c r="D1" s="20"/>
      <x:c r="E1" s="20"/>
      <x:c r="F1" s="20"/>
      <x:c r="G1" s="20"/>
    </x:row>
    <x:row r="2">
      <x:c r="A2" s="26" t="str">
        <x:v>config_key</x:v>
      </x:c>
      <x:c r="B2" s="26" t="str">
        <x:v>config_value</x:v>
      </x:c>
      <x:c r="C2" s="26" t="str">
        <x:v>scope</x:v>
      </x:c>
      <x:c r="D2" s="26" t="str">
        <x:v>locked</x:v>
      </x:c>
      <x:c r="E2" s="26" t="str">
        <x:v>owner</x:v>
      </x:c>
      <x:c r="F2" s="26" t="str">
        <x:v>last_updated</x:v>
      </x:c>
      <x:c r="G2" s="26" t="str">
        <x:v>notes</x:v>
      </x:c>
    </x:row>
    <x:row r="3">
      <x:c r="A3" s="22" t="str">
        <x:v>default_target</x:v>
      </x:c>
      <x:c r="B3" s="22" t="str">
        <x:v>coarse_affect</x:v>
      </x:c>
      <x:c r="C3" s="22" t="str">
        <x:v>global</x:v>
      </x:c>
      <x:c r="D3" s="22" t="str">
        <x:v>No</x:v>
      </x:c>
      <x:c r="E3" s="22" t="str">
        <x:v>Khaled</x:v>
      </x:c>
      <x:c r="F3" s="22" t="str">
        <x:v>2026-03-23</x:v>
      </x:c>
      <x:c r="G3" s="22" t="str">
        <x:v>Current working target used across planning sheets.</x:v>
      </x:c>
    </x:row>
    <x:row r="4">
      <x:c r="A4" s="27" t="str">
        <x:v>default_primary_cv</x:v>
      </x:c>
      <x:c r="B4" s="27" t="str">
        <x:v>within_subject_loso_session</x:v>
      </x:c>
      <x:c r="C4" s="27" t="str">
        <x:v>global</x:v>
      </x:c>
      <x:c r="D4" s="27" t="str">
        <x:v>No</x:v>
      </x:c>
      <x:c r="E4" s="27" t="str">
        <x:v>Khaled</x:v>
      </x:c>
      <x:c r="F4" s="27" t="str">
        <x:v>2026-03-23</x:v>
      </x:c>
      <x:c r="G4" s="27" t="str">
        <x:v>Primary within-person held-out-session split logic.</x:v>
      </x:c>
    </x:row>
    <x:row r="5">
      <x:c r="A5" s="22" t="str">
        <x:v>default_transfer_cv</x:v>
      </x:c>
      <x:c r="B5" s="22" t="str">
        <x:v>frozen_cross_person_transfer</x:v>
      </x:c>
      <x:c r="C5" s="22" t="str">
        <x:v>global</x:v>
      </x:c>
      <x:c r="D5" s="22" t="str">
        <x:v>No</x:v>
      </x:c>
      <x:c r="E5" s="22" t="str">
        <x:v>Khaled</x:v>
      </x:c>
      <x:c r="F5" s="22" t="str">
        <x:v>2026-03-23</x:v>
      </x:c>
      <x:c r="G5" s="22" t="str">
        <x:v>Secondary cross-person transfer setting.</x:v>
      </x:c>
    </x:row>
    <x:row r="6">
      <x:c r="A6" s="27" t="str">
        <x:v>default_model</x:v>
      </x:c>
      <x:c r="B6" s="27" t="str">
        <x:v>ridge</x:v>
      </x:c>
      <x:c r="C6" s="27" t="str">
        <x:v>global</x:v>
      </x:c>
      <x:c r="D6" s="27" t="str">
        <x:v>No</x:v>
      </x:c>
      <x:c r="E6" s="27" t="str">
        <x:v>Khaled</x:v>
      </x:c>
      <x:c r="F6" s="27" t="str">
        <x:v>2026-03-23</x:v>
      </x:c>
      <x:c r="G6" s="27" t="str">
        <x:v>Conservative linear baseline expected to anchor the confirmatory path.</x:v>
      </x:c>
    </x:row>
    <x:row r="7">
      <x:c r="A7" s="22" t="str">
        <x:v>default_weighting_policy</x:v>
      </x:c>
      <x:c r="B7" s="22" t="str">
        <x:v>none</x:v>
      </x:c>
      <x:c r="C7" s="22" t="str">
        <x:v>global</x:v>
      </x:c>
      <x:c r="D7" s="22" t="str">
        <x:v>No</x:v>
      </x:c>
      <x:c r="E7" s="22" t="str">
        <x:v>Khaled</x:v>
      </x:c>
      <x:c r="F7" s="22" t="str">
        <x:v>2026-03-23</x:v>
      </x:c>
      <x:c r="G7" s="22" t="str">
        <x:v>Balanced weighting remains a tested alternative, not the default.</x:v>
      </x:c>
    </x:row>
    <x:row r="8">
      <x:c r="A8" s="27" t="str">
        <x:v>default_tuning_policy</x:v>
      </x:c>
      <x:c r="B8" s="27" t="str">
        <x:v>fixed_explicit_settings</x:v>
      </x:c>
      <x:c r="C8" s="27" t="str">
        <x:v>global</x:v>
      </x:c>
      <x:c r="D8" s="27" t="str">
        <x:v>No</x:v>
      </x:c>
      <x:c r="E8" s="27" t="str">
        <x:v>Khaled</x:v>
      </x:c>
      <x:c r="F8" s="27" t="str">
        <x:v>2026-03-23</x:v>
      </x:c>
      <x:c r="G8" s="27" t="str">
        <x:v>Grouped nested tuning retained as an assessed alternative.</x:v>
      </x:c>
    </x:row>
    <x:row r="9">
      <x:c r="A9" s="22" t="str">
        <x:v>default_primary_metric</x:v>
      </x:c>
      <x:c r="B9" s="22" t="str">
        <x:v>balanced_accuracy</x:v>
      </x:c>
      <x:c r="C9" s="22" t="str">
        <x:v>global</x:v>
      </x:c>
      <x:c r="D9" s="22" t="str">
        <x:v>No</x:v>
      </x:c>
      <x:c r="E9" s="22" t="str">
        <x:v>Khaled</x:v>
      </x:c>
      <x:c r="F9" s="22" t="str">
        <x:v>2026-03-23</x:v>
      </x:c>
      <x:c r="G9" s="22" t="str">
        <x:v>Main decision metric across method-lock comparisons.</x:v>
      </x:c>
    </x:row>
    <x:row r="10">
      <x:c r="A10" s="27" t="str">
        <x:v>seed_policy</x:v>
      </x:c>
      <x:c r="B10" s="27" t="str">
        <x:v>42</x:v>
      </x:c>
      <x:c r="C10" s="27" t="str">
        <x:v>global</x:v>
      </x:c>
      <x:c r="D10" s="27" t="str">
        <x:v>No</x:v>
      </x:c>
      <x:c r="E10" s="27" t="str">
        <x:v>Khaled</x:v>
      </x:c>
      <x:c r="F10" s="27" t="str">
        <x:v>2026-03-23</x:v>
      </x:c>
      <x:c r="G10" s="27" t="str">
        <x:v>Freeze candidate seed for deterministic reruns and auditability.</x:v>
      </x:c>
    </x:row>
    <x:row r="11">
      <x:c r="A11" s="22" t="str">
        <x:v>train_only_fit_rule</x:v>
      </x:c>
      <x:c r="B11" s="22" t="str">
        <x:v>All preprocessing, scaling, reduction, tuning, and interpretation fits must remain inside training data for each split.</x:v>
      </x:c>
      <x:c r="C11" s="22" t="str">
        <x:v>global</x:v>
      </x:c>
      <x:c r="D11" s="22" t="str">
        <x:v>Yes</x:v>
      </x:c>
      <x:c r="E11" s="22" t="str">
        <x:v>Khaled</x:v>
      </x:c>
      <x:c r="F11" s="22" t="str">
        <x:v>2026-03-23</x:v>
      </x:c>
      <x:c r="G11" s="22" t="str">
        <x:v>Core leakage-prevention rule.</x:v>
      </x:c>
    </x:row>
    <x:row r="12">
      <x:c r="A12" s="27" t="str">
        <x:v>artifact_schema</x:v>
      </x:c>
      <x:c r="B12" s="27" t="str">
        <x:v>artifact-v1</x:v>
      </x:c>
      <x:c r="C12" s="27" t="str">
        <x:v>global</x:v>
      </x:c>
      <x:c r="D12" s="27" t="str">
        <x:v>Yes</x:v>
      </x:c>
      <x:c r="E12" s="27" t="str">
        <x:v>Khaled</x:v>
      </x:c>
      <x:c r="F12" s="27" t="str">
        <x:v>2026-03-23</x:v>
      </x:c>
      <x:c r="G12" s="27" t="str">
        <x:v>Reference schema for run outputs tracked in workbook.</x:v>
      </x:c>
    </x:row>
    <x:row r="13">
      <x:c r="A13" s="3" t="n"/>
      <x:c r="B13" s="3" t="n"/>
      <x:c r="C13" s="3" t="n"/>
      <x:c r="D13" s="3" t="n"/>
      <x:c r="E13" s="3" t="n"/>
      <x:c r="F13" s="3" t="n"/>
      <x:c r="G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</x:row>
  </x:sheetData>
  <x:mergeCells>
    <x:mergeCell ref="A1:G1"/>
  </x:mergeCells>
  <x:dataValidations count="1">
    <x:dataValidation type="list" allowBlank="1" showDropDown="0" showInputMessage="0" showErrorMessage="0" sqref="D3:D1000">
      <x:formula1>=List_YesNo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6d6b4f335c46b8"/>
  </x:tableParts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34" hidden="0" customWidth="1"/>
    <x:col min="3" max="3" width="18" hidden="0" customWidth="1"/>
    <x:col min="4" max="4" width="18" hidden="0" customWidth="1"/>
    <x:col min="5" max="5" width="20" hidden="0" customWidth="1"/>
    <x:col min="6" max="6" width="20" hidden="0" customWidth="1"/>
    <x:col min="7" max="7" width="14" hidden="0" customWidth="1"/>
    <x:col min="8" max="8" width="28" hidden="0" customWidth="1"/>
  </x:cols>
  <x:sheetData>
    <x:row r="1">
      <x:c r="A1" s="28" t="str">
        <x:v>Program Objectives</x:v>
      </x:c>
      <x:c r="B1" s="20"/>
      <x:c r="C1" s="20"/>
      <x:c r="D1" s="20"/>
      <x:c r="E1" s="20"/>
      <x:c r="F1" s="20"/>
      <x:c r="G1" s="20"/>
      <x:c r="H1" s="20"/>
    </x:row>
    <x:row r="2">
      <x:c r="A2" s="26" t="str">
        <x:v>objective_id</x:v>
      </x:c>
      <x:c r="B2" s="26" t="str">
        <x:v>objective_text</x:v>
      </x:c>
      <x:c r="C2" s="26" t="str">
        <x:v>stage</x:v>
      </x:c>
      <x:c r="D2" s="26" t="str">
        <x:v>linked_experiment_id</x:v>
      </x:c>
      <x:c r="E2" s="26" t="str">
        <x:v>primary_metric</x:v>
      </x:c>
      <x:c r="F2" s="26" t="str">
        <x:v>success_criterion</x:v>
      </x:c>
      <x:c r="G2" s="26" t="str">
        <x:v>status</x:v>
      </x:c>
      <x:c r="H2" s="26" t="str">
        <x:v>notes</x:v>
      </x:c>
    </x:row>
    <x:row r="3">
      <x:c r="A3" s="22" t="str">
        <x:v>OBJ01</x:v>
      </x:c>
      <x:c r="B3" s="22" t="str">
        <x:v>Lock target definition under leakage-aware evaluation.</x:v>
      </x:c>
      <x:c r="C3" s="22" t="str">
        <x:v>Stage 1 - Target lock</x:v>
      </x:c>
      <x:c r="D3" s="22" t="str">
        <x:v>E01</x:v>
      </x:c>
      <x:c r="E3" s="22" t="str">
        <x:v>balanced_accuracy</x:v>
      </x:c>
      <x:c r="F3" s="22" t="str">
        <x:v>Decision D01 locked with pre-registered rationale.</x:v>
      </x:c>
      <x:c r="G3" s="22" t="str">
        <x:v>Planned</x:v>
      </x:c>
      <x:c r="H3" s="22"/>
    </x:row>
    <x:row r="4">
      <x:c r="A4" s="27" t="str">
        <x:v>OBJ02</x:v>
      </x:c>
      <x:c r="B4" s="27" t="str">
        <x:v>Justify strict split design and separate within-person from cross-person claims.</x:v>
      </x:c>
      <x:c r="C4" s="27" t="str">
        <x:v>Stage 2 - Split lock</x:v>
      </x:c>
      <x:c r="D4" s="27" t="str">
        <x:v>E04,E05</x:v>
      </x:c>
      <x:c r="E4" s="27" t="str">
        <x:v>balanced_accuracy</x:v>
      </x:c>
      <x:c r="F4" s="27" t="str">
        <x:v>Weak-split inflation shown and primary split rationale documented.</x:v>
      </x:c>
      <x:c r="G4" s="27" t="str">
        <x:v>Planned</x:v>
      </x:c>
      <x:c r="H4" s="27"/>
    </x:row>
    <x:row r="5">
      <x:c r="A5" s="22" t="str">
        <x:v>OBJ03</x:v>
      </x:c>
      <x:c r="B5" s="22" t="str">
        <x:v>Select a small defensible linear model comparison set and tune only if clearly justified.</x:v>
      </x:c>
      <x:c r="C5" s="22" t="str">
        <x:v>Stage 3 - Model lock</x:v>
      </x:c>
      <x:c r="D5" s="22" t="str">
        <x:v>E06,E07,E08</x:v>
      </x:c>
      <x:c r="E5" s="22" t="str">
        <x:v>balanced_accuracy</x:v>
      </x:c>
      <x:c r="F5" s="22" t="str">
        <x:v>D03-D05 locked with evidence and tradeoff notes.</x:v>
      </x:c>
      <x:c r="G5" s="22" t="str">
        <x:v>Planned</x:v>
      </x:c>
      <x:c r="H5" s="22"/>
    </x:row>
    <x:row r="6">
      <x:c r="A6" s="27" t="str">
        <x:v>OBJ04</x:v>
      </x:c>
      <x:c r="B6" s="27" t="str">
        <x:v>Build a supporting robustness package that challenges the preferred interpretation.</x:v>
      </x:c>
      <x:c r="C6" s="27" t="str">
        <x:v>Stage 6 - Robustness analysis</x:v>
      </x:c>
      <x:c r="D6" s="27" t="str">
        <x:v>E12,E13,E14,E20,E21,E22,E23,E24</x:v>
      </x:c>
      <x:c r="E6" s="27" t="str">
        <x:v>balanced_accuracy</x:v>
      </x:c>
      <x:c r="F6" s="27" t="str">
        <x:v>Robustness package specified before Chapter 4 write-up.</x:v>
      </x:c>
      <x:c r="G6" s="27" t="str">
        <x:v>Planned</x:v>
      </x:c>
      <x:c r="H6" s="27" t="str">
        <x:v>Use as supervisor-facing audit checklist.</x:v>
      </x:c>
    </x:row>
    <x:row r="7">
      <x:c r="A7" s="22" t="str">
        <x:v>OBJ05</x:v>
      </x:c>
      <x:c r="B7" s="22" t="str">
        <x:v>Freeze a reproducible confirmatory package that is ready for Chapter 4 and Chapter 5 discussion.</x:v>
      </x:c>
      <x:c r="C7" s="22" t="str">
        <x:v>Stage 5/6</x:v>
      </x:c>
      <x:c r="D7" s="22" t="str">
        <x:v>E16,E17,E24</x:v>
      </x:c>
      <x:c r="E7" s="22" t="str">
        <x:v>balanced_accuracy</x:v>
      </x:c>
      <x:c r="F7" s="22" t="str">
        <x:v>Confirmatory_Set eligible and reproducibility audit documented.</x:v>
      </x:c>
      <x:c r="G7" s="22" t="str">
        <x:v>Planned</x:v>
      </x:c>
      <x:c r="H7" s="22"/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  <x:c r="H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  <x:c r="H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  <x:c r="H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  <x:c r="H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  <x:c r="H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  <x:c r="H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  <x:c r="H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  <x:c r="H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  <x:c r="H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  <x:c r="H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</x:row>
  </x:sheetData>
  <x:mergeCells>
    <x:mergeCell ref="A1:H1"/>
  </x:mergeCells>
  <x:dataValidations count="3">
    <x:dataValidation type="list" allowBlank="1" showDropDown="0" showInputMessage="0" showErrorMessage="0" sqref="C3:C1000">
      <x:formula1>=List_Stage</x:formula1>
    </x:dataValidation>
    <x:dataValidation type="list" allowBlank="1" showDropDown="0" showInputMessage="0" showErrorMessage="0" sqref="D3:D1000">
      <x:formula1>=List_Experiment_ID</x:formula1>
    </x:dataValidation>
    <x:dataValidation type="list" allowBlank="1" showDropDown="0" showInputMessage="0" showErrorMessage="0" sqref="G3:G1000">
      <x:formula1>=List_Status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35be5bef2140f6"/>
  </x:tableParts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20" customWidth="1"/>
    <x:col min="3" max="3" width="22" customWidth="1"/>
    <x:col min="4" max="4" width="18" customWidth="1"/>
    <x:col min="5" max="5" width="20" customWidth="1"/>
    <x:col min="6" max="6" width="14" customWidth="1"/>
    <x:col min="7" max="7" width="16" customWidth="1"/>
    <x:col min="8" max="8" width="34" customWidth="1"/>
  </x:cols>
  <x:sheetData>
    <x:row r="1">
      <x:c r="A1" s="9" t="inlineStr">
        <x:is>
          <x:t xml:space="preserve">Machine Status and Environment</x:t>
        </x:is>
      </x:c>
    </x:row>
    <x:row r="2">
      <x:c r="A2" s="7" t="inlineStr">
        <x:is>
          <x:t xml:space="preserve">machine_id</x:t>
        </x:is>
      </x:c>
      <x:c r="B2" s="7" t="inlineStr">
        <x:is>
          <x:t xml:space="preserve">hostname</x:t>
        </x:is>
      </x:c>
      <x:c r="C2" s="7" t="inlineStr">
        <x:is>
          <x:t xml:space="preserve">environment_name</x:t>
        </x:is>
      </x:c>
      <x:c r="D2" s="7" t="inlineStr">
        <x:is>
          <x:t xml:space="preserve">python_version</x:t>
        </x:is>
      </x:c>
      <x:c r="E2" s="7" t="inlineStr">
        <x:is>
          <x:t xml:space="preserve">gpu</x:t>
        </x:is>
      </x:c>
      <x:c r="F2" s="7" t="inlineStr">
        <x:is>
          <x:t xml:space="preserve">status</x:t>
        </x:is>
      </x:c>
      <x:c r="G2" s="7" t="inlineStr">
        <x:is>
          <x:t xml:space="preserve">last_checked</x:t>
        </x:is>
      </x:c>
      <x:c r="H2" s="7" t="inlineStr">
        <x:is>
          <x:t xml:space="preserve">notes</x:t>
        </x:is>
      </x:c>
    </x:row>
    <x:row r="3">
      <x:c r="A3" s="3" t="inlineStr">
        <x:is>
          <x:t xml:space="preserve">M01</x:t>
        </x:is>
      </x:c>
      <x:c r="B3" s="3" t="inlineStr">
        <x:is>
          <x:t xml:space="preserve"/>
        </x:is>
      </x:c>
      <x:c r="C3" s="3" t="inlineStr">
        <x:is>
          <x:t xml:space="preserve">thesis-dev</x:t>
        </x:is>
      </x:c>
      <x:c r="D3" s="3" t="inlineStr">
        <x:is>
          <x:t xml:space="preserve"/>
        </x:is>
      </x:c>
      <x:c r="E3" s="3" t="inlineStr">
        <x:is>
          <x:t xml:space="preserve"/>
        </x:is>
      </x:c>
      <x:c r="F3" s="3" t="inlineStr">
        <x:is>
          <x:t xml:space="preserve">Monitoring</x:t>
        </x:is>
      </x:c>
      <x:c r="G3" s="3" t="inlineStr">
        <x:is>
          <x:t xml:space="preserve"/>
        </x:is>
      </x:c>
      <x:c r="H3" s="3" t="inlineStr">
        <x:is>
          <x:t xml:space="preserve">Track execution environment snapshots used for thesis runs.</x:t>
        </x:is>
      </x:c>
    </x:row>
    <x:row r="4">
      <x:c r="A4" s="8" t="n"/>
      <x:c r="B4" s="8" t="n"/>
      <x:c r="C4" s="8" t="n"/>
      <x:c r="D4" s="8" t="n"/>
      <x:c r="E4" s="8" t="n"/>
      <x:c r="F4" s="8" t="n"/>
      <x:c r="G4" s="8" t="n"/>
      <x:c r="H4" s="8" t="n"/>
    </x:row>
    <x:row r="5">
      <x:c r="A5" s="3" t="n"/>
      <x:c r="B5" s="3" t="n"/>
      <x:c r="C5" s="3" t="n"/>
      <x:c r="D5" s="3" t="n"/>
      <x:c r="E5" s="3" t="n"/>
      <x:c r="F5" s="3" t="n"/>
      <x:c r="G5" s="3" t="n"/>
      <x:c r="H5" s="3" t="n"/>
    </x:row>
    <x:row r="6">
      <x:c r="A6" s="8" t="n"/>
      <x:c r="B6" s="8" t="n"/>
      <x:c r="C6" s="8" t="n"/>
      <x:c r="D6" s="8" t="n"/>
      <x:c r="E6" s="8" t="n"/>
      <x:c r="F6" s="8" t="n"/>
      <x:c r="G6" s="8" t="n"/>
      <x:c r="H6" s="8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  <x:c r="H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  <x:c r="H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  <x:c r="H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  <x:c r="H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  <x:c r="H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  <x:c r="H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  <x:c r="H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  <x:c r="H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  <x:c r="H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  <x:c r="H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</x:row>
  </x:sheetData>
  <x:mergeCells>
    <x:mergeCell ref="A1:H1"/>
  </x:mergeCells>
  <x:dataValidations count="1">
    <x:dataValidation type="list" allowBlank="1" showDropDown="0" showInputMessage="0" showErrorMessage="0" sqref="F3:F1000">
      <x:formula1>=List_Ethics_Status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b9bae6864541f6"/>
  </x:tableParts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4" customWidth="1"/>
    <x:col min="3" max="3" width="24" customWidth="1"/>
    <x:col min="4" max="4" width="14" customWidth="1"/>
    <x:col min="5" max="5" width="22" customWidth="1"/>
    <x:col min="6" max="6" width="18" customWidth="1"/>
    <x:col min="7" max="7" width="34" customWidth="1"/>
    <x:col min="8" max="8" width="34" customWidth="1"/>
    <x:col min="9" max="9" width="28" customWidth="1"/>
    <x:col min="10" max="10" width="30" customWidth="1"/>
    <x:col min="11" max="11" width="12" customWidth="1"/>
    <x:col min="12" max="12" width="22" customWidth="1"/>
    <x:col min="13" max="13" width="34" customWidth="1"/>
    <x:col min="14" max="14" width="34" customWidth="1"/>
  </x:cols>
  <x:sheetData>
    <x:row r="1">
      <x:c r="A1" s="9" t="inlineStr">
        <x:is>
          <x:t xml:space="preserve">Trial Results (Machine-managed)</x:t>
        </x:is>
      </x:c>
    </x:row>
    <x:row r="2">
      <x:c r="A2" s="7" t="inlineStr">
        <x:is>
          <x:t xml:space="preserve">trial_id</x:t>
        </x:is>
      </x:c>
      <x:c r="B2" s="7" t="inlineStr">
        <x:is>
          <x:t xml:space="preserve">experiment_id</x:t>
        </x:is>
      </x:c>
      <x:c r="C2" s="7" t="inlineStr">
        <x:is>
          <x:t xml:space="preserve">run_id</x:t>
        </x:is>
      </x:c>
      <x:c r="D2" s="7" t="inlineStr">
        <x:is>
          <x:t xml:space="preserve">status</x:t>
        </x:is>
      </x:c>
      <x:c r="E2" s="7" t="inlineStr">
        <x:is>
          <x:t xml:space="preserve">primary_metric_name</x:t>
        </x:is>
      </x:c>
      <x:c r="F2" s="7" t="inlineStr">
        <x:is>
          <x:t xml:space="preserve">primary_metric_value</x:t>
        </x:is>
      </x:c>
      <x:c r="G2" s="7" t="inlineStr">
        <x:is>
          <x:t xml:space="preserve">report_path</x:t>
        </x:is>
      </x:c>
      <x:c r="H2" s="7" t="inlineStr">
        <x:is>
          <x:t xml:space="preserve">metrics_path</x:t>
        </x:is>
      </x:c>
      <x:c r="I2" s="7" t="inlineStr">
        <x:is>
          <x:t xml:space="preserve">artifact_bundle</x:t>
        </x:is>
      </x:c>
      <x:c r="J2" s="7" t="inlineStr">
        <x:is>
          <x:t xml:space="preserve">notes</x:t>
        </x:is>
      </x:c>
      <x:c r="K2" s="7" t="inlineStr">
        <x:is>
          <x:t xml:space="preserve">study_id</x:t>
        </x:is>
      </x:c>
      <x:c r="L2" s="7" t="inlineStr">
        <x:is>
          <x:t xml:space="preserve">cell_id</x:t>
        </x:is>
      </x:c>
      <x:c r="M2" s="7" t="inlineStr">
        <x:is>
          <x:t xml:space="preserve">factor_settings_json</x:t>
        </x:is>
      </x:c>
      <x:c r="N2" s="7" t="inlineStr">
        <x:is>
          <x:t xml:space="preserve">resolved_params_json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  <x:c r="L3" s="3" t="n"/>
      <x:c r="M3" s="3" t="n"/>
      <x:c r="N3" s="3" t="n"/>
    </x:row>
    <x:row r="4">
      <x:c r="A4" s="8" t="n"/>
      <x:c r="B4" s="8" t="n"/>
      <x:c r="C4" s="8" t="n"/>
      <x:c r="D4" s="8" t="n"/>
      <x:c r="E4" s="8" t="n"/>
      <x:c r="F4" s="8" t="n"/>
      <x:c r="G4" s="8" t="n"/>
      <x:c r="H4" s="8" t="n"/>
      <x:c r="I4" s="8" t="n"/>
      <x:c r="J4" s="8" t="n"/>
      <x:c r="K4" s="8" t="n"/>
      <x:c r="L4" s="8" t="n"/>
      <x:c r="M4" s="8" t="n"/>
      <x:c r="N4" s="8" t="n"/>
    </x:row>
    <x:row r="5">
      <x:c r="A5" s="3" t="n"/>
      <x:c r="B5" s="3" t="n"/>
      <x:c r="C5" s="3" t="n"/>
      <x:c r="D5" s="3" t="n"/>
      <x:c r="E5" s="3" t="n"/>
      <x:c r="F5" s="3" t="n"/>
      <x:c r="G5" s="3" t="n"/>
      <x:c r="H5" s="3" t="n"/>
      <x:c r="I5" s="3" t="n"/>
      <x:c r="J5" s="3" t="n"/>
      <x:c r="K5" s="3" t="n"/>
      <x:c r="L5" s="3" t="n"/>
      <x:c r="M5" s="3" t="n"/>
      <x:c r="N5" s="3" t="n"/>
    </x:row>
    <x:row r="6">
      <x:c r="A6" s="8" t="n"/>
      <x:c r="B6" s="8" t="n"/>
      <x:c r="C6" s="8" t="n"/>
      <x:c r="D6" s="8" t="n"/>
      <x:c r="E6" s="8" t="n"/>
      <x:c r="F6" s="8" t="n"/>
      <x:c r="G6" s="8" t="n"/>
      <x:c r="H6" s="8" t="n"/>
      <x:c r="I6" s="8" t="n"/>
      <x:c r="J6" s="8" t="n"/>
      <x:c r="K6" s="8" t="n"/>
      <x:c r="L6" s="8" t="n"/>
      <x:c r="M6" s="8" t="n"/>
      <x:c r="N6" s="8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  <x:c r="J7" s="3" t="n"/>
      <x:c r="K7" s="3" t="n"/>
      <x:c r="L7" s="3" t="n"/>
      <x:c r="M7" s="3" t="n"/>
      <x:c r="N7" s="3" t="n"/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  <x:c r="I8" s="8" t="n"/>
      <x:c r="J8" s="8" t="n"/>
      <x:c r="K8" s="8" t="n"/>
      <x:c r="L8" s="8" t="n"/>
      <x:c r="M8" s="8" t="n"/>
      <x:c r="N8" s="8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  <x:c r="J9" s="3" t="n"/>
      <x:c r="K9" s="3" t="n"/>
      <x:c r="L9" s="3" t="n"/>
      <x:c r="M9" s="3" t="n"/>
      <x:c r="N9" s="3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  <x:c r="I10" s="8" t="n"/>
      <x:c r="J10" s="8" t="n"/>
      <x:c r="K10" s="8" t="n"/>
      <x:c r="L10" s="8" t="n"/>
      <x:c r="M10" s="8" t="n"/>
      <x:c r="N10" s="8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  <x:c r="K11" s="3" t="n"/>
      <x:c r="L11" s="3" t="n"/>
      <x:c r="M11" s="3" t="n"/>
      <x:c r="N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  <x:c r="J12" s="8" t="n"/>
      <x:c r="K12" s="8" t="n"/>
      <x:c r="L12" s="8" t="n"/>
      <x:c r="M12" s="8" t="n"/>
      <x:c r="N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  <x:c r="K13" s="3" t="n"/>
      <x:c r="L13" s="3" t="n"/>
      <x:c r="M13" s="3" t="n"/>
      <x:c r="N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  <x:c r="J14" s="8" t="n"/>
      <x:c r="K14" s="8" t="n"/>
      <x:c r="L14" s="8" t="n"/>
      <x:c r="M14" s="8" t="n"/>
      <x:c r="N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  <x:c r="N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  <x:c r="K16" s="8" t="n"/>
      <x:c r="L16" s="8" t="n"/>
      <x:c r="M16" s="8" t="n"/>
      <x:c r="N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  <x:c r="N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  <x:c r="K18" s="8" t="n"/>
      <x:c r="L18" s="8" t="n"/>
      <x:c r="M18" s="8" t="n"/>
      <x:c r="N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  <x:c r="N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  <x:c r="K20" s="8" t="n"/>
      <x:c r="L20" s="8" t="n"/>
      <x:c r="M20" s="8" t="n"/>
      <x:c r="N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  <x:c r="K22" s="8" t="n"/>
      <x:c r="L22" s="8" t="n"/>
      <x:c r="M22" s="8" t="n"/>
      <x:c r="N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  <x:c r="K24" s="8" t="n"/>
      <x:c r="L24" s="8" t="n"/>
      <x:c r="M24" s="8" t="n"/>
      <x:c r="N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  <x:c r="K26" s="8" t="n"/>
      <x:c r="L26" s="8" t="n"/>
      <x:c r="M26" s="8" t="n"/>
      <x:c r="N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  <x:c r="K28" s="8" t="n"/>
      <x:c r="L28" s="8" t="n"/>
      <x:c r="M28" s="8" t="n"/>
      <x:c r="N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  <x:c r="K30" s="8" t="n"/>
      <x:c r="L30" s="8" t="n"/>
      <x:c r="M30" s="8" t="n"/>
      <x:c r="N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  <x:c r="K32" s="8" t="n"/>
      <x:c r="L32" s="8" t="n"/>
      <x:c r="M32" s="8" t="n"/>
      <x:c r="N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  <x:c r="K34" s="8" t="n"/>
      <x:c r="L34" s="8" t="n"/>
      <x:c r="M34" s="8" t="n"/>
      <x:c r="N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  <x:c r="K36" s="8" t="n"/>
      <x:c r="L36" s="8" t="n"/>
      <x:c r="M36" s="8" t="n"/>
      <x:c r="N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  <x:c r="K38" s="8" t="n"/>
      <x:c r="L38" s="8" t="n"/>
      <x:c r="M38" s="8" t="n"/>
      <x:c r="N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  <x:c r="K40" s="8" t="n"/>
      <x:c r="L40" s="8" t="n"/>
      <x:c r="M40" s="8" t="n"/>
      <x:c r="N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  <x:c r="J42" s="8" t="n"/>
      <x:c r="K42" s="8" t="n"/>
      <x:c r="L42" s="8" t="n"/>
      <x:c r="M42" s="8" t="n"/>
      <x:c r="N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  <x:c r="K43" s="3" t="n"/>
      <x:c r="L43" s="3" t="n"/>
      <x:c r="M43" s="3" t="n"/>
      <x:c r="N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  <x:c r="J44" s="8" t="n"/>
      <x:c r="K44" s="8" t="n"/>
      <x:c r="L44" s="8" t="n"/>
      <x:c r="M44" s="8" t="n"/>
      <x:c r="N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  <x:c r="K45" s="3" t="n"/>
      <x:c r="L45" s="3" t="n"/>
      <x:c r="M45" s="3" t="n"/>
      <x:c r="N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  <x:c r="J46" s="8" t="n"/>
      <x:c r="K46" s="8" t="n"/>
      <x:c r="L46" s="8" t="n"/>
      <x:c r="M46" s="8" t="n"/>
      <x:c r="N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  <x:c r="K47" s="3" t="n"/>
      <x:c r="L47" s="3" t="n"/>
      <x:c r="M47" s="3" t="n"/>
      <x:c r="N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  <x:c r="J48" s="8" t="n"/>
      <x:c r="K48" s="8" t="n"/>
      <x:c r="L48" s="8" t="n"/>
      <x:c r="M48" s="8" t="n"/>
      <x:c r="N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  <x:c r="K49" s="3" t="n"/>
      <x:c r="L49" s="3" t="n"/>
      <x:c r="M49" s="3" t="n"/>
      <x:c r="N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  <x:c r="K50" s="8" t="n"/>
      <x:c r="L50" s="8" t="n"/>
      <x:c r="M50" s="8" t="n"/>
      <x:c r="N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  <x:c r="K51" s="3" t="n"/>
      <x:c r="L51" s="3" t="n"/>
      <x:c r="M51" s="3" t="n"/>
      <x:c r="N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  <x:c r="K52" s="8" t="n"/>
      <x:c r="L52" s="8" t="n"/>
      <x:c r="M52" s="8" t="n"/>
      <x:c r="N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  <x:c r="K53" s="3" t="n"/>
      <x:c r="L53" s="3" t="n"/>
      <x:c r="M53" s="3" t="n"/>
      <x:c r="N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  <x:c r="K54" s="8" t="n"/>
      <x:c r="L54" s="8" t="n"/>
      <x:c r="M54" s="8" t="n"/>
      <x:c r="N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  <x:c r="K55" s="3" t="n"/>
      <x:c r="L55" s="3" t="n"/>
      <x:c r="M55" s="3" t="n"/>
      <x:c r="N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  <x:c r="K56" s="8" t="n"/>
      <x:c r="L56" s="8" t="n"/>
      <x:c r="M56" s="8" t="n"/>
      <x:c r="N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  <x:c r="K57" s="3" t="n"/>
      <x:c r="L57" s="3" t="n"/>
      <x:c r="M57" s="3" t="n"/>
      <x:c r="N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  <x:c r="K58" s="8" t="n"/>
      <x:c r="L58" s="8" t="n"/>
      <x:c r="M58" s="8" t="n"/>
      <x:c r="N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  <x:c r="K59" s="3" t="n"/>
      <x:c r="L59" s="3" t="n"/>
      <x:c r="M59" s="3" t="n"/>
      <x:c r="N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  <x:c r="K60" s="8" t="n"/>
      <x:c r="L60" s="8" t="n"/>
      <x:c r="M60" s="8" t="n"/>
      <x:c r="N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  <x:c r="K61" s="3" t="n"/>
      <x:c r="L61" s="3" t="n"/>
      <x:c r="M61" s="3" t="n"/>
      <x:c r="N61" s="3" t="n"/>
    </x:row>
  </x:sheetData>
  <x:mergeCells>
    <x:mergeCell ref="A1:N1"/>
  </x:mergeCells>
  <x:dataValidations count="2">
    <x:dataValidation type="list" allowBlank="1" showDropDown="0" showInputMessage="0" showErrorMessage="0" sqref="B3:B1000">
      <x:formula1>=List_Experiment_ID</x:formula1>
    </x:dataValidation>
    <x:dataValidation type="list" allowBlank="1" showDropDown="0" showInputMessage="0" showErrorMessage="0" sqref="D3:D1000">
      <x:formula1>=List_Status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3bb0e2ebb942fc"/>
  </x:tableParts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2" customWidth="1"/>
    <x:col min="3" max="3" width="20" customWidth="1"/>
    <x:col min="4" max="4" width="18" customWidth="1"/>
    <x:col min="5" max="5" width="26" customWidth="1"/>
    <x:col min="6" max="6" width="14" customWidth="1"/>
    <x:col min="7" max="7" width="18" customWidth="1"/>
    <x:col min="8" max="8" width="18" customWidth="1"/>
    <x:col min="9" max="9" width="14" customWidth="1"/>
    <x:col min="10" max="10" width="24" customWidth="1"/>
    <x:col min="11" max="11" width="18" customWidth="1"/>
    <x:col min="12" max="12" width="20" customWidth="1"/>
    <x:col min="13" max="13" width="34" customWidth="1"/>
    <x:col min="14" max="14" width="36" customWidth="1"/>
  </x:cols>
  <x:sheetData>
    <x:row r="1">
      <x:c r="A1" s="9" t="inlineStr">
        <x:is>
          <x:t xml:space="preserve">Machine Summary Outputs (Best Runs and Patterns)</x:t>
        </x:is>
      </x:c>
    </x:row>
    <x:row r="2">
      <x:c r="A2" s="7" t="inlineStr">
        <x:is>
          <x:t xml:space="preserve">summary_type</x:t>
        </x:is>
      </x:c>
      <x:c r="B2" s="7" t="inlineStr">
        <x:is>
          <x:t xml:space="preserve">summary_key</x:t>
        </x:is>
      </x:c>
      <x:c r="C2" s="7" t="inlineStr">
        <x:is>
          <x:t xml:space="preserve">primary_metric_name</x:t>
        </x:is>
      </x:c>
      <x:c r="D2" s="7" t="inlineStr">
        <x:is>
          <x:t xml:space="preserve">primary_metric_value</x:t>
        </x:is>
      </x:c>
      <x:c r="E2" s="7" t="inlineStr">
        <x:is>
          <x:t xml:space="preserve">run_id</x:t>
        </x:is>
      </x:c>
      <x:c r="F2" s="7" t="inlineStr">
        <x:is>
          <x:t xml:space="preserve">experiment_id</x:t>
        </x:is>
      </x:c>
      <x:c r="G2" s="7" t="inlineStr">
        <x:is>
          <x:t xml:space="preserve">start_section</x:t>
        </x:is>
      </x:c>
      <x:c r="H2" s="7" t="inlineStr">
        <x:is>
          <x:t xml:space="preserve">end_section</x:t>
        </x:is>
      </x:c>
      <x:c r="I2" s="7" t="inlineStr">
        <x:is>
          <x:t xml:space="preserve">model</x:t>
        </x:is>
      </x:c>
      <x:c r="J2" s="7" t="inlineStr">
        <x:is>
          <x:t xml:space="preserve">cv</x:t>
        </x:is>
      </x:c>
      <x:c r="K2" s="7" t="inlineStr">
        <x:is>
          <x:t xml:space="preserve">target</x:t>
        </x:is>
      </x:c>
      <x:c r="L2" s="7" t="inlineStr">
        <x:is>
          <x:t xml:space="preserve">xai_method</x:t>
        </x:is>
      </x:c>
      <x:c r="M2" s="7" t="inlineStr">
        <x:is>
          <x:t xml:space="preserve">report_path</x:t>
        </x:is>
      </x:c>
      <x:c r="N2" s="7" t="inlineStr">
        <x:is>
          <x:t xml:space="preserve">notes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  <x:c r="L3" s="3" t="n"/>
      <x:c r="M3" s="3" t="n"/>
      <x:c r="N3" s="3" t="n"/>
    </x:row>
    <x:row r="4">
      <x:c r="A4" s="8" t="n"/>
      <x:c r="B4" s="8" t="n"/>
      <x:c r="C4" s="8" t="n"/>
      <x:c r="D4" s="8" t="n"/>
      <x:c r="E4" s="8" t="n"/>
      <x:c r="F4" s="8" t="n"/>
      <x:c r="G4" s="8" t="n"/>
      <x:c r="H4" s="8" t="n"/>
      <x:c r="I4" s="8" t="n"/>
      <x:c r="J4" s="8" t="n"/>
      <x:c r="K4" s="8" t="n"/>
      <x:c r="L4" s="8" t="n"/>
      <x:c r="M4" s="8" t="n"/>
      <x:c r="N4" s="8" t="n"/>
    </x:row>
    <x:row r="5">
      <x:c r="A5" s="3" t="n"/>
      <x:c r="B5" s="3" t="n"/>
      <x:c r="C5" s="3" t="n"/>
      <x:c r="D5" s="3" t="n"/>
      <x:c r="E5" s="3" t="n"/>
      <x:c r="F5" s="3" t="n"/>
      <x:c r="G5" s="3" t="n"/>
      <x:c r="H5" s="3" t="n"/>
      <x:c r="I5" s="3" t="n"/>
      <x:c r="J5" s="3" t="n"/>
      <x:c r="K5" s="3" t="n"/>
      <x:c r="L5" s="3" t="n"/>
      <x:c r="M5" s="3" t="n"/>
      <x:c r="N5" s="3" t="n"/>
    </x:row>
    <x:row r="6">
      <x:c r="A6" s="8" t="n"/>
      <x:c r="B6" s="8" t="n"/>
      <x:c r="C6" s="8" t="n"/>
      <x:c r="D6" s="8" t="n"/>
      <x:c r="E6" s="8" t="n"/>
      <x:c r="F6" s="8" t="n"/>
      <x:c r="G6" s="8" t="n"/>
      <x:c r="H6" s="8" t="n"/>
      <x:c r="I6" s="8" t="n"/>
      <x:c r="J6" s="8" t="n"/>
      <x:c r="K6" s="8" t="n"/>
      <x:c r="L6" s="8" t="n"/>
      <x:c r="M6" s="8" t="n"/>
      <x:c r="N6" s="8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  <x:c r="J7" s="3" t="n"/>
      <x:c r="K7" s="3" t="n"/>
      <x:c r="L7" s="3" t="n"/>
      <x:c r="M7" s="3" t="n"/>
      <x:c r="N7" s="3" t="n"/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  <x:c r="I8" s="8" t="n"/>
      <x:c r="J8" s="8" t="n"/>
      <x:c r="K8" s="8" t="n"/>
      <x:c r="L8" s="8" t="n"/>
      <x:c r="M8" s="8" t="n"/>
      <x:c r="N8" s="8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  <x:c r="J9" s="3" t="n"/>
      <x:c r="K9" s="3" t="n"/>
      <x:c r="L9" s="3" t="n"/>
      <x:c r="M9" s="3" t="n"/>
      <x:c r="N9" s="3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  <x:c r="I10" s="8" t="n"/>
      <x:c r="J10" s="8" t="n"/>
      <x:c r="K10" s="8" t="n"/>
      <x:c r="L10" s="8" t="n"/>
      <x:c r="M10" s="8" t="n"/>
      <x:c r="N10" s="8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  <x:c r="K11" s="3" t="n"/>
      <x:c r="L11" s="3" t="n"/>
      <x:c r="M11" s="3" t="n"/>
      <x:c r="N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  <x:c r="J12" s="8" t="n"/>
      <x:c r="K12" s="8" t="n"/>
      <x:c r="L12" s="8" t="n"/>
      <x:c r="M12" s="8" t="n"/>
      <x:c r="N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  <x:c r="K13" s="3" t="n"/>
      <x:c r="L13" s="3" t="n"/>
      <x:c r="M13" s="3" t="n"/>
      <x:c r="N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  <x:c r="J14" s="8" t="n"/>
      <x:c r="K14" s="8" t="n"/>
      <x:c r="L14" s="8" t="n"/>
      <x:c r="M14" s="8" t="n"/>
      <x:c r="N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  <x:c r="N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  <x:c r="K16" s="8" t="n"/>
      <x:c r="L16" s="8" t="n"/>
      <x:c r="M16" s="8" t="n"/>
      <x:c r="N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  <x:c r="N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  <x:c r="K18" s="8" t="n"/>
      <x:c r="L18" s="8" t="n"/>
      <x:c r="M18" s="8" t="n"/>
      <x:c r="N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  <x:c r="N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  <x:c r="K20" s="8" t="n"/>
      <x:c r="L20" s="8" t="n"/>
      <x:c r="M20" s="8" t="n"/>
      <x:c r="N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  <x:c r="K22" s="8" t="n"/>
      <x:c r="L22" s="8" t="n"/>
      <x:c r="M22" s="8" t="n"/>
      <x:c r="N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  <x:c r="K24" s="8" t="n"/>
      <x:c r="L24" s="8" t="n"/>
      <x:c r="M24" s="8" t="n"/>
      <x:c r="N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  <x:c r="K26" s="8" t="n"/>
      <x:c r="L26" s="8" t="n"/>
      <x:c r="M26" s="8" t="n"/>
      <x:c r="N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  <x:c r="K28" s="8" t="n"/>
      <x:c r="L28" s="8" t="n"/>
      <x:c r="M28" s="8" t="n"/>
      <x:c r="N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  <x:c r="K30" s="8" t="n"/>
      <x:c r="L30" s="8" t="n"/>
      <x:c r="M30" s="8" t="n"/>
      <x:c r="N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  <x:c r="K32" s="8" t="n"/>
      <x:c r="L32" s="8" t="n"/>
      <x:c r="M32" s="8" t="n"/>
      <x:c r="N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  <x:c r="K34" s="8" t="n"/>
      <x:c r="L34" s="8" t="n"/>
      <x:c r="M34" s="8" t="n"/>
      <x:c r="N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  <x:c r="K36" s="8" t="n"/>
      <x:c r="L36" s="8" t="n"/>
      <x:c r="M36" s="8" t="n"/>
      <x:c r="N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  <x:c r="K38" s="8" t="n"/>
      <x:c r="L38" s="8" t="n"/>
      <x:c r="M38" s="8" t="n"/>
      <x:c r="N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  <x:c r="K40" s="8" t="n"/>
      <x:c r="L40" s="8" t="n"/>
      <x:c r="M40" s="8" t="n"/>
      <x:c r="N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</x:row>
    <x:row r="42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  <x:c r="J42" s="8" t="n"/>
      <x:c r="K42" s="8" t="n"/>
      <x:c r="L42" s="8" t="n"/>
      <x:c r="M42" s="8" t="n"/>
      <x:c r="N42" s="8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  <x:c r="K43" s="3" t="n"/>
      <x:c r="L43" s="3" t="n"/>
      <x:c r="M43" s="3" t="n"/>
      <x:c r="N43" s="3" t="n"/>
    </x:row>
    <x:row r="44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  <x:c r="J44" s="8" t="n"/>
      <x:c r="K44" s="8" t="n"/>
      <x:c r="L44" s="8" t="n"/>
      <x:c r="M44" s="8" t="n"/>
      <x:c r="N44" s="8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  <x:c r="K45" s="3" t="n"/>
      <x:c r="L45" s="3" t="n"/>
      <x:c r="M45" s="3" t="n"/>
      <x:c r="N45" s="3" t="n"/>
    </x:row>
    <x:row r="46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  <x:c r="J46" s="8" t="n"/>
      <x:c r="K46" s="8" t="n"/>
      <x:c r="L46" s="8" t="n"/>
      <x:c r="M46" s="8" t="n"/>
      <x:c r="N46" s="8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  <x:c r="K47" s="3" t="n"/>
      <x:c r="L47" s="3" t="n"/>
      <x:c r="M47" s="3" t="n"/>
      <x:c r="N47" s="3" t="n"/>
    </x:row>
    <x:row r="48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  <x:c r="J48" s="8" t="n"/>
      <x:c r="K48" s="8" t="n"/>
      <x:c r="L48" s="8" t="n"/>
      <x:c r="M48" s="8" t="n"/>
      <x:c r="N48" s="8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  <x:c r="K49" s="3" t="n"/>
      <x:c r="L49" s="3" t="n"/>
      <x:c r="M49" s="3" t="n"/>
      <x:c r="N49" s="3" t="n"/>
    </x:row>
    <x:row r="50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  <x:c r="K50" s="8" t="n"/>
      <x:c r="L50" s="8" t="n"/>
      <x:c r="M50" s="8" t="n"/>
      <x:c r="N50" s="8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  <x:c r="K51" s="3" t="n"/>
      <x:c r="L51" s="3" t="n"/>
      <x:c r="M51" s="3" t="n"/>
      <x:c r="N51" s="3" t="n"/>
    </x:row>
    <x:row r="52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  <x:c r="K52" s="8" t="n"/>
      <x:c r="L52" s="8" t="n"/>
      <x:c r="M52" s="8" t="n"/>
      <x:c r="N52" s="8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  <x:c r="K53" s="3" t="n"/>
      <x:c r="L53" s="3" t="n"/>
      <x:c r="M53" s="3" t="n"/>
      <x:c r="N53" s="3" t="n"/>
    </x:row>
    <x:row r="54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  <x:c r="K54" s="8" t="n"/>
      <x:c r="L54" s="8" t="n"/>
      <x:c r="M54" s="8" t="n"/>
      <x:c r="N54" s="8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  <x:c r="K55" s="3" t="n"/>
      <x:c r="L55" s="3" t="n"/>
      <x:c r="M55" s="3" t="n"/>
      <x:c r="N55" s="3" t="n"/>
    </x:row>
    <x:row r="56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  <x:c r="K56" s="8" t="n"/>
      <x:c r="L56" s="8" t="n"/>
      <x:c r="M56" s="8" t="n"/>
      <x:c r="N56" s="8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  <x:c r="K57" s="3" t="n"/>
      <x:c r="L57" s="3" t="n"/>
      <x:c r="M57" s="3" t="n"/>
      <x:c r="N57" s="3" t="n"/>
    </x:row>
    <x:row r="58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  <x:c r="K58" s="8" t="n"/>
      <x:c r="L58" s="8" t="n"/>
      <x:c r="M58" s="8" t="n"/>
      <x:c r="N58" s="8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  <x:c r="K59" s="3" t="n"/>
      <x:c r="L59" s="3" t="n"/>
      <x:c r="M59" s="3" t="n"/>
      <x:c r="N59" s="3" t="n"/>
    </x:row>
    <x:row r="60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  <x:c r="K60" s="8" t="n"/>
      <x:c r="L60" s="8" t="n"/>
      <x:c r="M60" s="8" t="n"/>
      <x:c r="N60" s="8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  <x:c r="K61" s="3" t="n"/>
      <x:c r="L61" s="3" t="n"/>
      <x:c r="M61" s="3" t="n"/>
      <x:c r="N61" s="3" t="n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4954b670140647e8"/>
  </x:tableParts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2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28" hidden="0" customWidth="1"/>
    <x:col min="12" max="12" width="2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30" hidden="0" customWidth="1"/>
  </x:cols>
  <x:sheetData>
    <x:row r="1" ht="34.1796875" hidden="0" customHeight="1">
      <x:c r="A1" s="26" t="inlineStr">
        <x:is>
          <x:t xml:space="preserve">Data_Slice_ID</x:t>
        </x:is>
      </x:c>
      <x:c r="B1" s="26" t="inlineStr">
        <x:is>
          <x:t xml:space="preserve">Slice_Name</x:t>
        </x:is>
      </x:c>
      <x:c r="C1" s="26" t="inlineStr">
        <x:is>
          <x:t xml:space="preserve">Purpose</x:t>
        </x:is>
      </x:c>
      <x:c r="D1" s="26" t="inlineStr">
        <x:is>
          <x:t xml:space="preserve">Subject_Scope</x:t>
        </x:is>
      </x:c>
      <x:c r="E1" s="26" t="inlineStr">
        <x:is>
          <x:t xml:space="preserve">Session_Scope</x:t>
        </x:is>
      </x:c>
      <x:c r="F1" s="26" t="inlineStr">
        <x:is>
          <x:t xml:space="preserve">Time_Window</x:t>
        </x:is>
      </x:c>
      <x:c r="G1" s="26" t="inlineStr">
        <x:is>
          <x:t xml:space="preserve">Task_Scope</x:t>
        </x:is>
      </x:c>
      <x:c r="H1" s="26" t="inlineStr">
        <x:is>
          <x:t xml:space="preserve">Modality_Scope</x:t>
        </x:is>
      </x:c>
      <x:c r="I1" s="26" t="inlineStr">
        <x:is>
          <x:t xml:space="preserve">Target_Type</x:t>
        </x:is>
      </x:c>
      <x:c r="J1" s="26" t="inlineStr">
        <x:is>
          <x:t xml:space="preserve">Label_Set</x:t>
        </x:is>
      </x:c>
      <x:c r="K1" s="26" t="inlineStr">
        <x:is>
          <x:t xml:space="preserve">Inclusion_Rule</x:t>
        </x:is>
      </x:c>
      <x:c r="L1" s="26" t="inlineStr">
        <x:is>
          <x:t xml:space="preserve">Exclusion_Rule</x:t>
        </x:is>
      </x:c>
      <x:c r="M1" s="26" t="inlineStr">
        <x:is>
          <x:t xml:space="preserve">Class_Balance_Policy</x:t>
        </x:is>
      </x:c>
      <x:c r="N1" s="26" t="inlineStr">
        <x:is>
          <x:t xml:space="preserve">Minimum_Samples_Rule</x:t>
        </x:is>
      </x:c>
      <x:c r="O1" s="26" t="inlineStr">
        <x:is>
          <x:t xml:space="preserve">Leakage_Risk</x:t>
        </x:is>
      </x:c>
      <x:c r="P1" s="26" t="inlineStr">
        <x:is>
          <x:t xml:space="preserve">Valid_Use_Case</x:t>
        </x:is>
      </x:c>
      <x:c r="Q1" s="26" t="inlineStr">
        <x:is>
          <x:t xml:space="preserve">Thesis_Use</x:t>
        </x:is>
      </x:c>
      <x:c r="R1" s="26" t="inlineStr">
        <x:is>
          <x:t xml:space="preserve">Notes</x:t>
        </x:is>
      </x:c>
    </x:row>
    <x:row r="2" ht="68.359375" hidden="0" customHeight="1">
      <x:c r="A2" s="27" t="inlineStr">
        <x:is>
          <x:t xml:space="preserve">DS01</x:t>
        </x:is>
      </x:c>
      <x:c r="B2" s="27" t="inlineStr">
        <x:is>
          <x:t xml:space="preserve">All subjects, all sessions, pooled task, pooled modality, coarse_affect</x:t>
        </x:is>
      </x:c>
      <x:c r="C2" s="27" t="inlineStr">
        <x:is>
          <x:t xml:space="preserve">Global baseline for target/split/model method-choice comparisons.</x:t>
        </x:is>
      </x:c>
      <x:c r="D2" s="27" t="inlineStr">
        <x:is>
          <x:t xml:space="preserve">all_subjects</x:t>
        </x:is>
      </x:c>
      <x:c r="E2" s="27" t="inlineStr">
        <x:is>
          <x:t xml:space="preserve">all_sessions</x:t>
        </x:is>
      </x:c>
      <x:c r="F2" s="27" t="inlineStr">
        <x:is>
          <x:t xml:space="preserve">full_study_window</x:t>
        </x:is>
      </x:c>
      <x:c r="G2" s="27" t="inlineStr">
        <x:is>
          <x:t xml:space="preserve">pooled_all_tasks</x:t>
        </x:is>
      </x:c>
      <x:c r="H2" s="27" t="inlineStr">
        <x:is>
          <x:t xml:space="preserve">pooled_all_modalities</x:t>
        </x:is>
      </x:c>
      <x:c r="I2" s="27" t="inlineStr">
        <x:is>
          <x:t xml:space="preserve">coarse_affect</x:t>
        </x:is>
      </x:c>
      <x:c r="J2" s="27" t="inlineStr">
        <x:is>
          <x:t xml:space="preserve">coarse_affect</x:t>
        </x:is>
      </x:c>
      <x:c r="K2" s="27" t="inlineStr">
        <x:is>
          <x:t xml:space="preserve">All QC-passed repeated-session beta maps with valid labels.</x:t>
        </x:is>
      </x:c>
      <x:c r="L2" s="27" t="inlineStr">
        <x:is>
          <x:t xml:space="preserve">Drop failed-preprocessing rows and missing targets.</x:t>
        </x:is>
      </x:c>
      <x:c r="M2" s="27" t="inlineStr">
        <x:is>
          <x:t xml:space="preserve">as_is</x:t>
        </x:is>
      </x:c>
      <x:c r="N2" s="27" t="inlineStr">
        <x:is>
          <x:t xml:space="preserve">Prefer &gt;=20 per class before claim-level interpretation.</x:t>
        </x:is>
      </x:c>
      <x:c r="O2" s="27" t="inlineStr">
        <x:is>
          <x:t xml:space="preserve">medium</x:t>
        </x:is>
      </x:c>
      <x:c r="P2" s="27" t="inlineStr">
        <x:is>
          <x:t xml:space="preserve">method_choice</x:t>
        </x:is>
      </x:c>
      <x:c r="Q2" s="27" t="inlineStr">
        <x:is>
          <x:t xml:space="preserve">method_choice</x:t>
        </x:is>
      </x:c>
      <x:c r="R2" s="27" t="inlineStr">
        <x:is>
          <x:t xml:space="preserve"/>
        </x:is>
      </x:c>
    </x:row>
    <x:row r="3" ht="51.26953125" hidden="0" customHeight="1">
      <x:c r="A3" s="22" t="inlineStr">
        <x:is>
          <x:t xml:space="preserve">DS02</x:t>
        </x:is>
      </x:c>
      <x:c r="B3" s="22" t="inlineStr">
        <x:is>
          <x:t xml:space="preserve">Subject-specific pooled-task pooled-modality</x:t>
        </x:is>
      </x:c>
      <x:c r="C3" s="22" t="inlineStr">
        <x:is>
          <x:t xml:space="preserve">Primary within-person held-out-session claim support.</x:t>
        </x:is>
      </x:c>
      <x:c r="D3" s="22" t="inlineStr">
        <x:is>
          <x:t xml:space="preserve">single_subject</x:t>
        </x:is>
      </x:c>
      <x:c r="E3" s="22" t="inlineStr">
        <x:is>
          <x:t xml:space="preserve">held_out_session</x:t>
        </x:is>
      </x:c>
      <x:c r="F3" s="22" t="inlineStr">
        <x:is>
          <x:t xml:space="preserve">full_study_window</x:t>
        </x:is>
      </x:c>
      <x:c r="G3" s="22" t="inlineStr">
        <x:is>
          <x:t xml:space="preserve">pooled_all_tasks</x:t>
        </x:is>
      </x:c>
      <x:c r="H3" s="22" t="inlineStr">
        <x:is>
          <x:t xml:space="preserve">pooled_all_modalities</x:t>
        </x:is>
      </x:c>
      <x:c r="I3" s="22" t="inlineStr">
        <x:is>
          <x:t xml:space="preserve">coarse_affect</x:t>
        </x:is>
      </x:c>
      <x:c r="J3" s="22" t="inlineStr">
        <x:is>
          <x:t xml:space="preserve">coarse_affect</x:t>
        </x:is>
      </x:c>
      <x:c r="K3" s="22" t="inlineStr">
        <x:is>
          <x:t xml:space="preserve">One subject at a time with all eligible sessions.</x:t>
        </x:is>
      </x:c>
      <x:c r="L3" s="22" t="inlineStr">
        <x:is>
          <x:t xml:space="preserve">No cross-subject pooling inside fold-level fit.</x:t>
        </x:is>
      </x:c>
      <x:c r="M3" s="22" t="inlineStr">
        <x:is>
          <x:t xml:space="preserve">weighted_only</x:t>
        </x:is>
      </x:c>
      <x:c r="N3" s="22" t="inlineStr">
        <x:is>
          <x:t xml:space="preserve">Per-class floor checked per subject.</x:t>
        </x:is>
      </x:c>
      <x:c r="O3" s="22" t="inlineStr">
        <x:is>
          <x:t xml:space="preserve">low</x:t>
        </x:is>
      </x:c>
      <x:c r="P3" s="22" t="inlineStr">
        <x:is>
          <x:t xml:space="preserve">confirmatory_within_person</x:t>
        </x:is>
      </x:c>
      <x:c r="Q3" s="22" t="inlineStr">
        <x:is>
          <x:t xml:space="preserve">main_confirmatory</x:t>
        </x:is>
      </x:c>
      <x:c r="R3" s="22" t="inlineStr">
        <x:is>
          <x:t xml:space="preserve">Matches held-out-session inference boundary.</x:t>
        </x:is>
      </x:c>
    </x:row>
    <x:row r="4" ht="68.359375" hidden="0" customHeight="1">
      <x:c r="A4" s="27" t="inlineStr">
        <x:is>
          <x:t xml:space="preserve">DS03</x:t>
        </x:is>
      </x:c>
      <x:c r="B4" s="27" t="inlineStr">
        <x:is>
          <x:t xml:space="preserve">Task-specific pooled-modality</x:t>
        </x:is>
      </x:c>
      <x:c r="C4" s="27" t="inlineStr">
        <x:is>
          <x:t xml:space="preserve">Task pooling vs task-specific method-choice and diagnostics.</x:t>
        </x:is>
      </x:c>
      <x:c r="D4" s="27" t="inlineStr">
        <x:is>
          <x:t xml:space="preserve">all_subjects</x:t>
        </x:is>
      </x:c>
      <x:c r="E4" s="27" t="inlineStr">
        <x:is>
          <x:t xml:space="preserve">all_sessions</x:t>
        </x:is>
      </x:c>
      <x:c r="F4" s="27" t="inlineStr">
        <x:is>
          <x:t xml:space="preserve">full_study_window</x:t>
        </x:is>
      </x:c>
      <x:c r="G4" s="27" t="inlineStr">
        <x:is>
          <x:t xml:space="preserve">task_specific_other</x:t>
        </x:is>
      </x:c>
      <x:c r="H4" s="27" t="inlineStr">
        <x:is>
          <x:t xml:space="preserve">pooled_all_modalities</x:t>
        </x:is>
      </x:c>
      <x:c r="I4" s="27" t="inlineStr">
        <x:is>
          <x:t xml:space="preserve">coarse_affect</x:t>
        </x:is>
      </x:c>
      <x:c r="J4" s="27" t="inlineStr">
        <x:is>
          <x:t xml:space="preserve">coarse_affect by task</x:t>
        </x:is>
      </x:c>
      <x:c r="K4" s="27" t="inlineStr">
        <x:is>
          <x:t xml:space="preserve">Restrict each run to one task family.</x:t>
        </x:is>
      </x:c>
      <x:c r="L4" s="27" t="inlineStr">
        <x:is>
          <x:t xml:space="preserve">Exclude off-task records for that run.</x:t>
        </x:is>
      </x:c>
      <x:c r="M4" s="27" t="inlineStr">
        <x:is>
          <x:t xml:space="preserve">as_is</x:t>
        </x:is>
      </x:c>
      <x:c r="N4" s="27" t="inlineStr">
        <x:is>
          <x:t xml:space="preserve">Minimum counts checked per task-specific slice.</x:t>
        </x:is>
      </x:c>
      <x:c r="O4" s="27" t="inlineStr">
        <x:is>
          <x:t xml:space="preserve">medium</x:t>
        </x:is>
      </x:c>
      <x:c r="P4" s="27" t="inlineStr">
        <x:is>
          <x:t xml:space="preserve">method_choice</x:t>
        </x:is>
      </x:c>
      <x:c r="Q4" s="27" t="inlineStr">
        <x:is>
          <x:t xml:space="preserve">method_choice</x:t>
        </x:is>
      </x:c>
      <x:c r="R4" s="27" t="inlineStr">
        <x:is>
          <x:t xml:space="preserve"/>
        </x:is>
      </x:c>
    </x:row>
    <x:row r="5" ht="68.359375" hidden="0" customHeight="1">
      <x:c r="A5" s="22" t="inlineStr">
        <x:is>
          <x:t xml:space="preserve">DS04</x:t>
        </x:is>
      </x:c>
      <x:c r="B5" s="22" t="inlineStr">
        <x:is>
          <x:t xml:space="preserve">Modality-specific pooled-task</x:t>
        </x:is>
      </x:c>
      <x:c r="C5" s="22" t="inlineStr">
        <x:is>
          <x:t xml:space="preserve">Modality pooling vs modality-specific method-choice checks.</x:t>
        </x:is>
      </x:c>
      <x:c r="D5" s="22" t="inlineStr">
        <x:is>
          <x:t xml:space="preserve">all_subjects</x:t>
        </x:is>
      </x:c>
      <x:c r="E5" s="22" t="inlineStr">
        <x:is>
          <x:t xml:space="preserve">all_sessions</x:t>
        </x:is>
      </x:c>
      <x:c r="F5" s="22" t="inlineStr">
        <x:is>
          <x:t xml:space="preserve">full_study_window</x:t>
        </x:is>
      </x:c>
      <x:c r="G5" s="22" t="inlineStr">
        <x:is>
          <x:t xml:space="preserve">pooled_all_tasks</x:t>
        </x:is>
      </x:c>
      <x:c r="H5" s="22" t="inlineStr">
        <x:is>
          <x:t xml:space="preserve">audio_only</x:t>
        </x:is>
      </x:c>
      <x:c r="I5" s="22" t="inlineStr">
        <x:is>
          <x:t xml:space="preserve">coarse_affect</x:t>
        </x:is>
      </x:c>
      <x:c r="J5" s="22" t="inlineStr">
        <x:is>
          <x:t xml:space="preserve">coarse_affect</x:t>
        </x:is>
      </x:c>
      <x:c r="K5" s="22" t="inlineStr">
        <x:is>
          <x:t xml:space="preserve">One modality family per run (audio/video/audiovisual variants).</x:t>
        </x:is>
      </x:c>
      <x:c r="L5" s="22" t="inlineStr">
        <x:is>
          <x:t xml:space="preserve">Exclude other modalities in each modality-specific run.</x:t>
        </x:is>
      </x:c>
      <x:c r="M5" s="22" t="inlineStr">
        <x:is>
          <x:t xml:space="preserve">as_is</x:t>
        </x:is>
      </x:c>
      <x:c r="N5" s="22" t="inlineStr">
        <x:is>
          <x:t xml:space="preserve">Check sample sufficiency per modality variant.</x:t>
        </x:is>
      </x:c>
      <x:c r="O5" s="22" t="inlineStr">
        <x:is>
          <x:t xml:space="preserve">medium</x:t>
        </x:is>
      </x:c>
      <x:c r="P5" s="22" t="inlineStr">
        <x:is>
          <x:t xml:space="preserve">method_choice</x:t>
        </x:is>
      </x:c>
      <x:c r="Q5" s="22" t="inlineStr">
        <x:is>
          <x:t xml:space="preserve">method_choice</x:t>
        </x:is>
      </x:c>
      <x:c r="R5" s="22" t="inlineStr">
        <x:is>
          <x:t xml:space="preserve">Seed modality is audio_only; clone row for other modalities.</x:t>
        </x:is>
      </x:c>
    </x:row>
    <x:row r="6" ht="51.26953125" hidden="0" customHeight="1">
      <x:c r="A6" s="27" t="inlineStr">
        <x:is>
          <x:t xml:space="preserve">DS05</x:t>
        </x:is>
      </x:c>
      <x:c r="B6" s="27" t="inlineStr">
        <x:is>
          <x:t xml:space="preserve">Subject-specific task x modality subset</x:t>
        </x:is>
      </x:c>
      <x:c r="C6" s="27" t="inlineStr">
        <x:is>
          <x:t xml:space="preserve">Fine-grained diagnostic sensitivity slices.</x:t>
        </x:is>
      </x:c>
      <x:c r="D6" s="27" t="inlineStr">
        <x:is>
          <x:t xml:space="preserve">single_subject</x:t>
        </x:is>
      </x:c>
      <x:c r="E6" s="27" t="inlineStr">
        <x:is>
          <x:t xml:space="preserve">all_sessions</x:t>
        </x:is>
      </x:c>
      <x:c r="F6" s="27" t="inlineStr">
        <x:is>
          <x:t xml:space="preserve">full_study_window</x:t>
        </x:is>
      </x:c>
      <x:c r="G6" s="27" t="inlineStr">
        <x:is>
          <x:t xml:space="preserve">task_specific_other</x:t>
        </x:is>
      </x:c>
      <x:c r="H6" s="27" t="inlineStr">
        <x:is>
          <x:t xml:space="preserve">audiovisual_only</x:t>
        </x:is>
      </x:c>
      <x:c r="I6" s="27" t="inlineStr">
        <x:is>
          <x:t xml:space="preserve">coarse_affect</x:t>
        </x:is>
      </x:c>
      <x:c r="J6" s="27" t="inlineStr">
        <x:is>
          <x:t xml:space="preserve">coarse_affect</x:t>
        </x:is>
      </x:c>
      <x:c r="K6" s="27" t="inlineStr">
        <x:is>
          <x:t xml:space="preserve">Single subject + selected task + selected modality combination.</x:t>
        </x:is>
      </x:c>
      <x:c r="L6" s="27" t="inlineStr">
        <x:is>
          <x:t xml:space="preserve">Exclude all records outside the chosen intersection.</x:t>
        </x:is>
      </x:c>
      <x:c r="M6" s="27" t="inlineStr">
        <x:is>
          <x:t xml:space="preserve">min_count_threshold</x:t>
        </x:is>
      </x:c>
      <x:c r="N6" s="27" t="inlineStr">
        <x:is>
          <x:t xml:space="preserve">Hard floor required before reporting.</x:t>
        </x:is>
      </x:c>
      <x:c r="O6" s="27" t="inlineStr">
        <x:is>
          <x:t xml:space="preserve">high</x:t>
        </x:is>
      </x:c>
      <x:c r="P6" s="27" t="inlineStr">
        <x:is>
          <x:t xml:space="preserve">diagnostic_only</x:t>
        </x:is>
      </x:c>
      <x:c r="Q6" s="27" t="inlineStr">
        <x:is>
          <x:t xml:space="preserve">discussion_limitations</x:t>
        </x:is>
      </x:c>
      <x:c r="R6" s="27" t="inlineStr">
        <x:is>
          <x:t xml:space="preserve"/>
        </x:is>
      </x:c>
    </x:row>
    <x:row r="7" ht="51.26953125" hidden="0" customHeight="1">
      <x:c r="A7" s="22" t="inlineStr">
        <x:is>
          <x:t xml:space="preserve">DS06</x:t>
        </x:is>
      </x:c>
      <x:c r="B7" s="22" t="inlineStr">
        <x:is>
          <x:t xml:space="preserve">Early sessions only</x:t>
        </x:is>
      </x:c>
      <x:c r="C7" s="22" t="inlineStr">
        <x:is>
          <x:t xml:space="preserve">Temporal drift checks and early-to-late transfer design.</x:t>
        </x:is>
      </x:c>
      <x:c r="D7" s="22" t="inlineStr">
        <x:is>
          <x:t xml:space="preserve">all_subjects</x:t>
        </x:is>
      </x:c>
      <x:c r="E7" s="22" t="inlineStr">
        <x:is>
          <x:t xml:space="preserve">early_only</x:t>
        </x:is>
      </x:c>
      <x:c r="F7" s="22" t="inlineStr">
        <x:is>
          <x:t xml:space="preserve">early_window</x:t>
        </x:is>
      </x:c>
      <x:c r="G7" s="22" t="inlineStr">
        <x:is>
          <x:t xml:space="preserve">pooled_all_tasks</x:t>
        </x:is>
      </x:c>
      <x:c r="H7" s="22" t="inlineStr">
        <x:is>
          <x:t xml:space="preserve">pooled_all_modalities</x:t>
        </x:is>
      </x:c>
      <x:c r="I7" s="22" t="inlineStr">
        <x:is>
          <x:t xml:space="preserve">coarse_affect</x:t>
        </x:is>
      </x:c>
      <x:c r="J7" s="22" t="inlineStr">
        <x:is>
          <x:t xml:space="preserve">coarse_affect</x:t>
        </x:is>
      </x:c>
      <x:c r="K7" s="22" t="inlineStr">
        <x:is>
          <x:t xml:space="preserve">Use sessions pre-registered as early window.</x:t>
        </x:is>
      </x:c>
      <x:c r="L7" s="22" t="inlineStr">
        <x:is>
          <x:t xml:space="preserve">Exclude late-window sessions.</x:t>
        </x:is>
      </x:c>
      <x:c r="M7" s="22" t="inlineStr">
        <x:is>
          <x:t xml:space="preserve">as_is</x:t>
        </x:is>
      </x:c>
      <x:c r="N7" s="22" t="inlineStr">
        <x:is>
          <x:t xml:space="preserve">Check class floor by temporal window.</x:t>
        </x:is>
      </x:c>
      <x:c r="O7" s="22" t="inlineStr">
        <x:is>
          <x:t xml:space="preserve">medium</x:t>
        </x:is>
      </x:c>
      <x:c r="P7" s="22" t="inlineStr">
        <x:is>
          <x:t xml:space="preserve">robustness_support</x:t>
        </x:is>
      </x:c>
      <x:c r="Q7" s="22" t="inlineStr">
        <x:is>
          <x:t xml:space="preserve">supporting_robustness</x:t>
        </x:is>
      </x:c>
      <x:c r="R7" s="22" t="inlineStr">
        <x:is>
          <x:t xml:space="preserve"/>
        </x:is>
      </x:c>
    </x:row>
    <x:row r="8" ht="51.26953125" hidden="0" customHeight="1">
      <x:c r="A8" s="27" t="inlineStr">
        <x:is>
          <x:t xml:space="preserve">DS07</x:t>
        </x:is>
      </x:c>
      <x:c r="B8" s="27" t="inlineStr">
        <x:is>
          <x:t xml:space="preserve">Late sessions only</x:t>
        </x:is>
      </x:c>
      <x:c r="C8" s="27" t="inlineStr">
        <x:is>
          <x:t xml:space="preserve">Temporal drift checks and early-to-late transfer design.</x:t>
        </x:is>
      </x:c>
      <x:c r="D8" s="27" t="inlineStr">
        <x:is>
          <x:t xml:space="preserve">all_subjects</x:t>
        </x:is>
      </x:c>
      <x:c r="E8" s="27" t="inlineStr">
        <x:is>
          <x:t xml:space="preserve">late_only</x:t>
        </x:is>
      </x:c>
      <x:c r="F8" s="27" t="inlineStr">
        <x:is>
          <x:t xml:space="preserve">late_window</x:t>
        </x:is>
      </x:c>
      <x:c r="G8" s="27" t="inlineStr">
        <x:is>
          <x:t xml:space="preserve">pooled_all_tasks</x:t>
        </x:is>
      </x:c>
      <x:c r="H8" s="27" t="inlineStr">
        <x:is>
          <x:t xml:space="preserve">pooled_all_modalities</x:t>
        </x:is>
      </x:c>
      <x:c r="I8" s="27" t="inlineStr">
        <x:is>
          <x:t xml:space="preserve">coarse_affect</x:t>
        </x:is>
      </x:c>
      <x:c r="J8" s="27" t="inlineStr">
        <x:is>
          <x:t xml:space="preserve">coarse_affect</x:t>
        </x:is>
      </x:c>
      <x:c r="K8" s="27" t="inlineStr">
        <x:is>
          <x:t xml:space="preserve">Use sessions pre-registered as late window.</x:t>
        </x:is>
      </x:c>
      <x:c r="L8" s="27" t="inlineStr">
        <x:is>
          <x:t xml:space="preserve">Exclude early-window sessions.</x:t>
        </x:is>
      </x:c>
      <x:c r="M8" s="27" t="inlineStr">
        <x:is>
          <x:t xml:space="preserve">as_is</x:t>
        </x:is>
      </x:c>
      <x:c r="N8" s="27" t="inlineStr">
        <x:is>
          <x:t xml:space="preserve">Check class floor by temporal window.</x:t>
        </x:is>
      </x:c>
      <x:c r="O8" s="27" t="inlineStr">
        <x:is>
          <x:t xml:space="preserve">medium</x:t>
        </x:is>
      </x:c>
      <x:c r="P8" s="27" t="inlineStr">
        <x:is>
          <x:t xml:space="preserve">robustness_support</x:t>
        </x:is>
      </x:c>
      <x:c r="Q8" s="27" t="inlineStr">
        <x:is>
          <x:t xml:space="preserve">supporting_robustness</x:t>
        </x:is>
      </x:c>
      <x:c r="R8" s="27" t="inlineStr">
        <x:is>
          <x:t xml:space="preserve"/>
        </x:is>
      </x:c>
    </x:row>
    <x:row r="9" ht="51.26953125" hidden="0" customHeight="1">
      <x:c r="A9" s="22" t="inlineStr">
        <x:is>
          <x:t xml:space="preserve">DS08</x:t>
        </x:is>
      </x:c>
      <x:c r="B9" s="22" t="inlineStr">
        <x:is>
          <x:t xml:space="preserve">Balanced subset only</x:t>
        </x:is>
      </x:c>
      <x:c r="C9" s="22" t="inlineStr">
        <x:is>
          <x:t xml:space="preserve">Imbalance-aware sensitivity diagnostics.</x:t>
        </x:is>
      </x:c>
      <x:c r="D9" s="22" t="inlineStr">
        <x:is>
          <x:t xml:space="preserve">all_subjects</x:t>
        </x:is>
      </x:c>
      <x:c r="E9" s="22" t="inlineStr">
        <x:is>
          <x:t xml:space="preserve">all_sessions</x:t>
        </x:is>
      </x:c>
      <x:c r="F9" s="22" t="inlineStr">
        <x:is>
          <x:t xml:space="preserve">full_study_window</x:t>
        </x:is>
      </x:c>
      <x:c r="G9" s="22" t="inlineStr">
        <x:is>
          <x:t xml:space="preserve">pooled_all_tasks</x:t>
        </x:is>
      </x:c>
      <x:c r="H9" s="22" t="inlineStr">
        <x:is>
          <x:t xml:space="preserve">pooled_all_modalities</x:t>
        </x:is>
      </x:c>
      <x:c r="I9" s="22" t="inlineStr">
        <x:is>
          <x:t xml:space="preserve">coarse_affect</x:t>
        </x:is>
      </x:c>
      <x:c r="J9" s="22" t="inlineStr">
        <x:is>
          <x:t xml:space="preserve">coarse_affect</x:t>
        </x:is>
      </x:c>
      <x:c r="K9" s="22" t="inlineStr">
        <x:is>
          <x:t xml:space="preserve">Only include rows passing balancing policy.</x:t>
        </x:is>
      </x:c>
      <x:c r="L9" s="22" t="inlineStr">
        <x:is>
          <x:t xml:space="preserve">Exclude classes below predefined minimum count floor.</x:t>
        </x:is>
      </x:c>
      <x:c r="M9" s="22" t="inlineStr">
        <x:is>
          <x:t xml:space="preserve">balanced_subset</x:t>
        </x:is>
      </x:c>
      <x:c r="N9" s="22" t="inlineStr">
        <x:is>
          <x:t xml:space="preserve">Set explicit class floor in analysis config.</x:t>
        </x:is>
      </x:c>
      <x:c r="O9" s="22" t="inlineStr">
        <x:is>
          <x:t xml:space="preserve">low</x:t>
        </x:is>
      </x:c>
      <x:c r="P9" s="22" t="inlineStr">
        <x:is>
          <x:t xml:space="preserve">robustness_support</x:t>
        </x:is>
      </x:c>
      <x:c r="Q9" s="22" t="inlineStr">
        <x:is>
          <x:t xml:space="preserve">supporting_robustness</x:t>
        </x:is>
      </x:c>
      <x:c r="R9" s="22" t="inlineStr">
        <x:is>
          <x:t xml:space="preserve">Do not replace confirmatory as-is evidence with this slice.</x:t>
        </x:is>
      </x:c>
    </x:row>
    <x:row r="10" ht="68.359375" hidden="0" customHeight="1">
      <x:c r="A10" s="27" t="str">
        <x:v>DS09</x:v>
      </x:c>
      <x:c r="B10" s="27" t="str">
        <x:v>Early-train to late-test paired temporal slice</x:v>
      </x:c>
      <x:c r="C10" s="27" t="str">
        <x:v>Stronger temporal-drift robustness using early sessions for training and late sessions for testing.</x:v>
      </x:c>
      <x:c r="D10" s="27" t="str">
        <x:v>single_subject</x:v>
      </x:c>
      <x:c r="E10" s="27" t="str">
        <x:v>all_sessions</x:v>
      </x:c>
      <x:c r="F10" s="27" t="str">
        <x:v>early_train_late_test_window</x:v>
      </x:c>
      <x:c r="G10" s="27" t="str">
        <x:v>pooled_all_tasks</x:v>
      </x:c>
      <x:c r="H10" s="27" t="str">
        <x:v>pooled_all_modalities</x:v>
      </x:c>
      <x:c r="I10" s="27" t="str">
        <x:v>coarse_affect</x:v>
      </x:c>
      <x:c r="J10" s="27" t="str">
        <x:v>coarse_affect</x:v>
      </x:c>
      <x:c r="K10" s="27" t="str">
        <x:v>Use only sessions pre-registered as early training window.</x:v>
      </x:c>
      <x:c r="L10" s="27" t="str">
        <x:v>Exclude late-window sessions from the training slice definition itself.</x:v>
      </x:c>
      <x:c r="M10" s="27" t="str">
        <x:v>as_is</x:v>
      </x:c>
      <x:c r="N10" s="27" t="str">
        <x:v>Need both early and late windows with class support.</x:v>
      </x:c>
      <x:c r="O10" s="27" t="str">
        <x:v>medium</x:v>
      </x:c>
      <x:c r="P10" s="27" t="str">
        <x:v>robustness_support</x:v>
      </x:c>
      <x:c r="Q10" s="27" t="str">
        <x:v>supporting_robustness</x:v>
      </x:c>
      <x:c r="R10" s="27" t="str">
        <x:v>Pair with GS05 temporal grouping rule.</x:v>
      </x:c>
    </x:row>
    <x:row r="11" ht="51.26953125" hidden="0" customHeight="1">
      <x:c r="A11" s="22" t="str">
        <x:v>DS10</x:v>
      </x:c>
      <x:c r="B11" s="22" t="str">
        <x:v>Late-train to early-test paired temporal slice</x:v>
      </x:c>
      <x:c r="C11" s="22" t="str">
        <x:v>Reverse-direction temporal-drift robustness.</x:v>
      </x:c>
      <x:c r="D11" s="22" t="str">
        <x:v>single_subject</x:v>
      </x:c>
      <x:c r="E11" s="22" t="str">
        <x:v>all_sessions</x:v>
      </x:c>
      <x:c r="F11" s="22" t="str">
        <x:v>late_train_early_test_window</x:v>
      </x:c>
      <x:c r="G11" s="22" t="str">
        <x:v>pooled_all_tasks</x:v>
      </x:c>
      <x:c r="H11" s="22" t="str">
        <x:v>pooled_all_modalities</x:v>
      </x:c>
      <x:c r="I11" s="22" t="str">
        <x:v>coarse_affect</x:v>
      </x:c>
      <x:c r="J11" s="22" t="str">
        <x:v>coarse_affect</x:v>
      </x:c>
      <x:c r="K11" s="22" t="str">
        <x:v>Use only sessions pre-registered as late training window.</x:v>
      </x:c>
      <x:c r="L11" s="22" t="str">
        <x:v>Exclude early-window sessions from the training slice definition itself.</x:v>
      </x:c>
      <x:c r="M11" s="22" t="str">
        <x:v>as_is</x:v>
      </x:c>
      <x:c r="N11" s="22" t="str">
        <x:v>Need both windows with class support.</x:v>
      </x:c>
      <x:c r="O11" s="22" t="str">
        <x:v>medium</x:v>
      </x:c>
      <x:c r="P11" s="22" t="str">
        <x:v>robustness_support</x:v>
      </x:c>
      <x:c r="Q11" s="22" t="str">
        <x:v>supporting_robustness</x:v>
      </x:c>
      <x:c r="R11" s="22" t="str">
        <x:v>Reverse direction of DS09.</x:v>
      </x:c>
    </x:row>
    <x:row r="12" ht="85.44921875" hidden="0" customHeight="1">
      <x:c r="A12" s="27" t="str">
        <x:v>DS11</x:v>
      </x:c>
      <x:c r="B12" s="27" t="str">
        <x:v>Leave-one-task-out candidate slice</x:v>
      </x:c>
      <x:c r="C12" s="27" t="str">
        <x:v>Task-generalization robustness package.</x:v>
      </x:c>
      <x:c r="D12" s="27" t="str">
        <x:v>single_subject</x:v>
      </x:c>
      <x:c r="E12" s="27" t="str">
        <x:v>all_sessions</x:v>
      </x:c>
      <x:c r="F12" s="27" t="str">
        <x:v>full_study_window</x:v>
      </x:c>
      <x:c r="G12" s="27" t="str">
        <x:v>held_out_task</x:v>
      </x:c>
      <x:c r="H12" s="27" t="str">
        <x:v>pooled_all_modalities</x:v>
      </x:c>
      <x:c r="I12" s="27" t="str">
        <x:v>coarse_affect</x:v>
      </x:c>
      <x:c r="J12" s="27" t="str">
        <x:v>coarse_affect</x:v>
      </x:c>
      <x:c r="K12" s="27" t="str">
        <x:v>Train on all eligible tasks except the designated held-out task.</x:v>
      </x:c>
      <x:c r="L12" s="27" t="str">
        <x:v>Exclude held-out task from training data and use it only in test partition.</x:v>
      </x:c>
      <x:c r="M12" s="27" t="str">
        <x:v>as_is</x:v>
      </x:c>
      <x:c r="N12" s="27" t="str">
        <x:v>Do not report if the held-out task has inadequate class counts.</x:v>
      </x:c>
      <x:c r="O12" s="27" t="str">
        <x:v>medium</x:v>
      </x:c>
      <x:c r="P12" s="27" t="str">
        <x:v>robustness_support</x:v>
      </x:c>
      <x:c r="Q12" s="27" t="str">
        <x:v>supporting_robustness</x:v>
      </x:c>
      <x:c r="R12" s="27" t="str">
        <x:v>Pair with GS10.</x:v>
      </x:c>
    </x:row>
    <x:row r="13" ht="85.44921875" hidden="0" customHeight="1">
      <x:c r="A13" s="22" t="str">
        <x:v>DS12</x:v>
      </x:c>
      <x:c r="B13" s="22" t="str">
        <x:v>Leave-one-modality-out candidate slice</x:v>
      </x:c>
      <x:c r="C13" s="22" t="str">
        <x:v>Modality-generalization robustness package.</x:v>
      </x:c>
      <x:c r="D13" s="22" t="str">
        <x:v>single_subject</x:v>
      </x:c>
      <x:c r="E13" s="22" t="str">
        <x:v>all_sessions</x:v>
      </x:c>
      <x:c r="F13" s="22" t="str">
        <x:v>full_study_window</x:v>
      </x:c>
      <x:c r="G13" s="22" t="str">
        <x:v>pooled_all_tasks</x:v>
      </x:c>
      <x:c r="H13" s="22" t="str">
        <x:v>held_out_modality</x:v>
      </x:c>
      <x:c r="I13" s="22" t="str">
        <x:v>coarse_affect</x:v>
      </x:c>
      <x:c r="J13" s="22" t="str">
        <x:v>coarse_affect</x:v>
      </x:c>
      <x:c r="K13" s="22" t="str">
        <x:v>Train on all eligible modalities except the designated held-out modality.</x:v>
      </x:c>
      <x:c r="L13" s="22" t="str">
        <x:v>Exclude held-out modality from training data and use it only in test partition.</x:v>
      </x:c>
      <x:c r="M13" s="22" t="str">
        <x:v>as_is</x:v>
      </x:c>
      <x:c r="N13" s="22" t="str">
        <x:v>Do not report if the held-out modality has inadequate class counts.</x:v>
      </x:c>
      <x:c r="O13" s="22" t="str">
        <x:v>medium</x:v>
      </x:c>
      <x:c r="P13" s="22" t="str">
        <x:v>robustness_support</x:v>
      </x:c>
      <x:c r="Q13" s="22" t="str">
        <x:v>supporting_robustness</x:v>
      </x:c>
      <x:c r="R13" s="22" t="str">
        <x:v>Pair with GS11.</x:v>
      </x:c>
    </x:row>
    <x:row r="14" ht="68.359375" hidden="0" customHeight="1">
      <x:c r="A14" s="27" t="str">
        <x:v>DS13</x:v>
      </x:c>
      <x:c r="B14" s="27" t="str">
        <x:v>Session-influence / subset sensitivity slice</x:v>
      </x:c>
      <x:c r="C14" s="27" t="str">
        <x:v>Jackknife-style session omission and subset influence diagnostics.</x:v>
      </x:c>
      <x:c r="D14" s="27" t="str">
        <x:v>single_subject</x:v>
      </x:c>
      <x:c r="E14" s="27" t="str">
        <x:v>all_sessions</x:v>
      </x:c>
      <x:c r="F14" s="27" t="str">
        <x:v>full_study_window</x:v>
      </x:c>
      <x:c r="G14" s="27" t="str">
        <x:v>pooled_all_tasks</x:v>
      </x:c>
      <x:c r="H14" s="27" t="str">
        <x:v>pooled_all_modalities</x:v>
      </x:c>
      <x:c r="I14" s="27" t="str">
        <x:v>coarse_affect</x:v>
      </x:c>
      <x:c r="J14" s="27" t="str">
        <x:v>coarse_affect</x:v>
      </x:c>
      <x:c r="K14" s="27" t="str">
        <x:v>Create reruns with one session or one designated subset omitted from the training pool.</x:v>
      </x:c>
      <x:c r="L14" s="27" t="str">
        <x:v>Exclude only the pre-registered omitted subset for that rerun.</x:v>
      </x:c>
      <x:c r="M14" s="27" t="str">
        <x:v>as_is</x:v>
      </x:c>
      <x:c r="N14" s="27" t="str">
        <x:v>Need enough residual data after omission.</x:v>
      </x:c>
      <x:c r="O14" s="27" t="str">
        <x:v>medium</x:v>
      </x:c>
      <x:c r="P14" s="27" t="str">
        <x:v>robustness_support</x:v>
      </x:c>
      <x:c r="Q14" s="27" t="str">
        <x:v>supporting_robustness</x:v>
      </x:c>
      <x:c r="R14" s="27" t="str">
        <x:v>Pair with GS12 and E23.</x:v>
      </x:c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  <x:c r="K16" s="8" t="n"/>
      <x:c r="L16" s="8" t="n"/>
      <x:c r="M16" s="8" t="n"/>
      <x:c r="N16" s="8" t="n"/>
      <x:c r="O16" s="8" t="n"/>
      <x:c r="P16" s="8" t="n"/>
      <x:c r="Q16" s="8" t="n"/>
      <x:c r="R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  <x:c r="K18" s="8" t="n"/>
      <x:c r="L18" s="8" t="n"/>
      <x:c r="M18" s="8" t="n"/>
      <x:c r="N18" s="8" t="n"/>
      <x:c r="O18" s="8" t="n"/>
      <x:c r="P18" s="8" t="n"/>
      <x:c r="Q18" s="8" t="n"/>
      <x:c r="R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  <x:c r="K20" s="8" t="n"/>
      <x:c r="L20" s="8" t="n"/>
      <x:c r="M20" s="8" t="n"/>
      <x:c r="N20" s="8" t="n"/>
      <x:c r="O20" s="8" t="n"/>
      <x:c r="P20" s="8" t="n"/>
      <x:c r="Q20" s="8" t="n"/>
      <x:c r="R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  <x:c r="K22" s="8" t="n"/>
      <x:c r="L22" s="8" t="n"/>
      <x:c r="M22" s="8" t="n"/>
      <x:c r="N22" s="8" t="n"/>
      <x:c r="O22" s="8" t="n"/>
      <x:c r="P22" s="8" t="n"/>
      <x:c r="Q22" s="8" t="n"/>
      <x:c r="R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  <x:c r="K24" s="8" t="n"/>
      <x:c r="L24" s="8" t="n"/>
      <x:c r="M24" s="8" t="n"/>
      <x:c r="N24" s="8" t="n"/>
      <x:c r="O24" s="8" t="n"/>
      <x:c r="P24" s="8" t="n"/>
      <x:c r="Q24" s="8" t="n"/>
      <x:c r="R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  <x:c r="O25" s="3" t="n"/>
      <x:c r="P25" s="3" t="n"/>
      <x:c r="Q25" s="3" t="n"/>
      <x:c r="R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  <x:c r="K26" s="8" t="n"/>
      <x:c r="L26" s="8" t="n"/>
      <x:c r="M26" s="8" t="n"/>
      <x:c r="N26" s="8" t="n"/>
      <x:c r="O26" s="8" t="n"/>
      <x:c r="P26" s="8" t="n"/>
      <x:c r="Q26" s="8" t="n"/>
      <x:c r="R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  <x:c r="O27" s="3" t="n"/>
      <x:c r="P27" s="3" t="n"/>
      <x:c r="Q27" s="3" t="n"/>
      <x:c r="R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  <x:c r="K28" s="8" t="n"/>
      <x:c r="L28" s="8" t="n"/>
      <x:c r="M28" s="8" t="n"/>
      <x:c r="N28" s="8" t="n"/>
      <x:c r="O28" s="8" t="n"/>
      <x:c r="P28" s="8" t="n"/>
      <x:c r="Q28" s="8" t="n"/>
      <x:c r="R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  <x:c r="K30" s="8" t="n"/>
      <x:c r="L30" s="8" t="n"/>
      <x:c r="M30" s="8" t="n"/>
      <x:c r="N30" s="8" t="n"/>
      <x:c r="O30" s="8" t="n"/>
      <x:c r="P30" s="8" t="n"/>
      <x:c r="Q30" s="8" t="n"/>
      <x:c r="R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  <x:c r="O31" s="3" t="n"/>
      <x:c r="P31" s="3" t="n"/>
      <x:c r="Q31" s="3" t="n"/>
      <x:c r="R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  <x:c r="K32" s="8" t="n"/>
      <x:c r="L32" s="8" t="n"/>
      <x:c r="M32" s="8" t="n"/>
      <x:c r="N32" s="8" t="n"/>
      <x:c r="O32" s="8" t="n"/>
      <x:c r="P32" s="8" t="n"/>
      <x:c r="Q32" s="8" t="n"/>
      <x:c r="R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  <x:c r="O33" s="3" t="n"/>
      <x:c r="P33" s="3" t="n"/>
      <x:c r="Q33" s="3" t="n"/>
      <x:c r="R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  <x:c r="K34" s="8" t="n"/>
      <x:c r="L34" s="8" t="n"/>
      <x:c r="M34" s="8" t="n"/>
      <x:c r="N34" s="8" t="n"/>
      <x:c r="O34" s="8" t="n"/>
      <x:c r="P34" s="8" t="n"/>
      <x:c r="Q34" s="8" t="n"/>
      <x:c r="R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  <x:c r="O35" s="3" t="n"/>
      <x:c r="P35" s="3" t="n"/>
      <x:c r="Q35" s="3" t="n"/>
      <x:c r="R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  <x:c r="K36" s="8" t="n"/>
      <x:c r="L36" s="8" t="n"/>
      <x:c r="M36" s="8" t="n"/>
      <x:c r="N36" s="8" t="n"/>
      <x:c r="O36" s="8" t="n"/>
      <x:c r="P36" s="8" t="n"/>
      <x:c r="Q36" s="8" t="n"/>
      <x:c r="R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  <x:c r="O37" s="3" t="n"/>
      <x:c r="P37" s="3" t="n"/>
      <x:c r="Q37" s="3" t="n"/>
      <x:c r="R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  <x:c r="K38" s="8" t="n"/>
      <x:c r="L38" s="8" t="n"/>
      <x:c r="M38" s="8" t="n"/>
      <x:c r="N38" s="8" t="n"/>
      <x:c r="O38" s="8" t="n"/>
      <x:c r="P38" s="8" t="n"/>
      <x:c r="Q38" s="8" t="n"/>
      <x:c r="R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  <x:c r="O39" s="3" t="n"/>
      <x:c r="P39" s="3" t="n"/>
      <x:c r="Q39" s="3" t="n"/>
      <x:c r="R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  <x:c r="K40" s="8" t="n"/>
      <x:c r="L40" s="8" t="n"/>
      <x:c r="M40" s="8" t="n"/>
      <x:c r="N40" s="8" t="n"/>
      <x:c r="O40" s="8" t="n"/>
      <x:c r="P40" s="8" t="n"/>
      <x:c r="Q40" s="8" t="n"/>
      <x:c r="R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  <x:c r="O41" s="3" t="n"/>
      <x:c r="P41" s="3" t="n"/>
      <x:c r="Q41" s="3" t="n"/>
      <x:c r="R41" s="3" t="n"/>
    </x:row>
  </x:sheetData>
  <x:dataValidations count="9">
    <x:dataValidation type="list" allowBlank="1" showDropDown="0" showInputMessage="0" showErrorMessage="0" sqref="D2:D1000">
      <x:formula1>=List_Subject_Scope</x:formula1>
    </x:dataValidation>
    <x:dataValidation type="list" allowBlank="1" showDropDown="0" showInputMessage="0" showErrorMessage="0" sqref="E2:E1000">
      <x:formula1>=List_Session_Scope</x:formula1>
    </x:dataValidation>
    <x:dataValidation type="list" allowBlank="1" showDropDown="0" showInputMessage="0" showErrorMessage="0" sqref="G2:G1000">
      <x:formula1>=List_Task_Scope</x:formula1>
    </x:dataValidation>
    <x:dataValidation type="list" allowBlank="1" showDropDown="0" showInputMessage="0" showErrorMessage="0" sqref="H2:H1000">
      <x:formula1>=List_Modality_Scope</x:formula1>
    </x:dataValidation>
    <x:dataValidation type="list" allowBlank="1" showDropDown="0" showInputMessage="0" showErrorMessage="0" sqref="I2:I1000">
      <x:formula1>=List_Target_Type</x:formula1>
    </x:dataValidation>
    <x:dataValidation type="list" allowBlank="1" showDropDown="0" showInputMessage="0" showErrorMessage="0" sqref="M2:M1000">
      <x:formula1>=List_Class_Balance_Policy</x:formula1>
    </x:dataValidation>
    <x:dataValidation type="list" allowBlank="1" showDropDown="0" showInputMessage="0" showErrorMessage="0" sqref="O2:O1000">
      <x:formula1>=List_Leakage_Risk_Level</x:formula1>
    </x:dataValidation>
    <x:dataValidation type="list" allowBlank="1" showDropDown="0" showInputMessage="0" showErrorMessage="0" sqref="P2:P1000">
      <x:formula1>=List_Use_Case</x:formula1>
    </x:dataValidation>
    <x:dataValidation type="list" allowBlank="1" showDropDown="0" showInputMessage="0" showErrorMessage="0" sqref="Q2:Q1000">
      <x:formula1>=List_Thesis_Use_Tag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f3e1f92361478b"/>
  </x:tableParts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22" hidden="0" customWidth="1"/>
    <x:col min="3" max="3" width="22" hidden="0" customWidth="1"/>
    <x:col min="4" max="4" width="16" hidden="0" customWidth="1"/>
    <x:col min="5" max="5" width="16" hidden="0" customWidth="1"/>
    <x:col min="6" max="6" width="16" hidden="0" customWidth="1"/>
    <x:col min="7" max="7" width="30" hidden="0" customWidth="1"/>
    <x:col min="8" max="8" width="30" hidden="0" customWidth="1"/>
    <x:col min="9" max="9" width="30" hidden="0" customWidth="1"/>
    <x:col min="10" max="10" width="22" hidden="0" customWidth="1"/>
    <x:col min="11" max="11" width="22" hidden="0" customWidth="1"/>
    <x:col min="12" max="12" width="28" hidden="0" customWidth="1"/>
    <x:col min="13" max="13" width="20" hidden="0" customWidth="1"/>
    <x:col min="14" max="14" width="20" hidden="0" customWidth="1"/>
    <x:col min="15" max="15" width="28" hidden="0" customWidth="1"/>
  </x:cols>
  <x:sheetData>
    <x:row r="1" ht="68.359375" hidden="0" customHeight="1">
      <x:c r="A1" s="26" t="inlineStr">
        <x:is>
          <x:t xml:space="preserve">Grouping_Strategy_ID</x:t>
        </x:is>
      </x:c>
      <x:c r="B1" s="26" t="inlineStr">
        <x:is>
          <x:t xml:space="preserve">Strategy_Name</x:t>
        </x:is>
      </x:c>
      <x:c r="C1" s="26" t="inlineStr">
        <x:is>
          <x:t xml:space="preserve">Split_Family</x:t>
        </x:is>
      </x:c>
      <x:c r="D1" s="26" t="inlineStr">
        <x:is>
          <x:t xml:space="preserve">Train_Group_Unit</x:t>
        </x:is>
      </x:c>
      <x:c r="E1" s="26" t="inlineStr">
        <x:is>
          <x:t xml:space="preserve">Test_Group_Unit</x:t>
        </x:is>
      </x:c>
      <x:c r="F1" s="26" t="inlineStr">
        <x:is>
          <x:t xml:space="preserve">Grouping_Level</x:t>
        </x:is>
      </x:c>
      <x:c r="G1" s="26" t="inlineStr">
        <x:is>
          <x:t xml:space="preserve">Train_Rule</x:t>
        </x:is>
      </x:c>
      <x:c r="H1" s="26" t="inlineStr">
        <x:is>
          <x:t xml:space="preserve">Test_Rule</x:t>
        </x:is>
      </x:c>
      <x:c r="I1" s="26" t="inlineStr">
        <x:is>
          <x:t xml:space="preserve">Leakage_Safeguard</x:t>
        </x:is>
      </x:c>
      <x:c r="J1" s="26" t="inlineStr">
        <x:is>
          <x:t xml:space="preserve">Suitable_For</x:t>
        </x:is>
      </x:c>
      <x:c r="K1" s="26" t="inlineStr">
        <x:is>
          <x:t xml:space="preserve">Not_Suitable_For</x:t>
        </x:is>
      </x:c>
      <x:c r="L1" s="26" t="inlineStr">
        <x:is>
          <x:t xml:space="preserve">Interpretation_Boundary</x:t>
        </x:is>
      </x:c>
      <x:c r="M1" s="26" t="inlineStr">
        <x:is>
          <x:t xml:space="preserve">Typical_Experiments</x:t>
        </x:is>
      </x:c>
      <x:c r="N1" s="26" t="inlineStr">
        <x:is>
          <x:t xml:space="preserve">Thesis_Section</x:t>
        </x:is>
      </x:c>
      <x:c r="O1" s="26" t="inlineStr">
        <x:is>
          <x:t xml:space="preserve">Notes</x:t>
        </x:is>
      </x:c>
    </x:row>
    <x:row r="2" ht="51.26953125" hidden="0" customHeight="1">
      <x:c r="A2" s="27" t="inlineStr">
        <x:is>
          <x:t xml:space="preserve">GS01</x:t>
        </x:is>
      </x:c>
      <x:c r="B2" s="27" t="inlineStr">
        <x:is>
          <x:t xml:space="preserve">within-subject LOSO-session</x:t>
        </x:is>
      </x:c>
      <x:c r="C2" s="27" t="inlineStr">
        <x:is>
          <x:t xml:space="preserve">within_subject</x:t>
        </x:is>
      </x:c>
      <x:c r="D2" s="27" t="inlineStr">
        <x:is>
          <x:t xml:space="preserve">subject_session</x:t>
        </x:is>
      </x:c>
      <x:c r="E2" s="27" t="inlineStr">
        <x:is>
          <x:t xml:space="preserve">session</x:t>
        </x:is>
      </x:c>
      <x:c r="F2" s="27" t="inlineStr">
        <x:is>
          <x:t xml:space="preserve">within_subject</x:t>
        </x:is>
      </x:c>
      <x:c r="G2" s="27" t="inlineStr">
        <x:is>
          <x:t xml:space="preserve">Per subject: train on all but one session.</x:t>
        </x:is>
      </x:c>
      <x:c r="H2" s="27" t="inlineStr">
        <x:is>
          <x:t xml:space="preserve">Per subject: test on held-out session.</x:t>
        </x:is>
      </x:c>
      <x:c r="I2" s="27" t="inlineStr">
        <x:is>
          <x:t xml:space="preserve">No held-out session rows in any train-side fit/tune stage.</x:t>
        </x:is>
      </x:c>
      <x:c r="J2" s="27" t="inlineStr">
        <x:is>
          <x:t xml:space="preserve">confirmatory_within_person</x:t>
        </x:is>
      </x:c>
      <x:c r="K2" s="27" t="inlineStr">
        <x:is>
          <x:t xml:space="preserve">confirmatory_cross_person_transfer</x:t>
        </x:is>
      </x:c>
      <x:c r="L2" s="27" t="inlineStr">
        <x:is>
          <x:t xml:space="preserve">Supports within-person held-out-session claim only.</x:t>
        </x:is>
      </x:c>
      <x:c r="M2" s="27" t="inlineStr">
        <x:is>
          <x:t xml:space="preserve">E04,E16</x:t>
        </x:is>
      </x:c>
      <x:c r="N2" s="27" t="inlineStr">
        <x:is>
          <x:t xml:space="preserve">Chapter 4 Main results</x:t>
        </x:is>
      </x:c>
      <x:c r="O2" s="27" t="inlineStr">
        <x:is>
          <x:t xml:space="preserve"/>
        </x:is>
      </x:c>
    </x:row>
    <x:row r="3" ht="51.26953125" hidden="0" customHeight="1">
      <x:c r="A3" s="22" t="inlineStr">
        <x:is>
          <x:t xml:space="preserve">GS02</x:t>
        </x:is>
      </x:c>
      <x:c r="B3" s="22" t="inlineStr">
        <x:is>
          <x:t xml:space="preserve">pooled-task within-subject LOSO-session</x:t>
        </x:is>
      </x:c>
      <x:c r="C3" s="22" t="inlineStr">
        <x:is>
          <x:t xml:space="preserve">within_subject</x:t>
        </x:is>
      </x:c>
      <x:c r="D3" s="22" t="inlineStr">
        <x:is>
          <x:t xml:space="preserve">subject_session</x:t>
        </x:is>
      </x:c>
      <x:c r="E3" s="22" t="inlineStr">
        <x:is>
          <x:t xml:space="preserve">session</x:t>
        </x:is>
      </x:c>
      <x:c r="F3" s="22" t="inlineStr">
        <x:is>
          <x:t xml:space="preserve">within_subject</x:t>
        </x:is>
      </x:c>
      <x:c r="G3" s="22" t="inlineStr">
        <x:is>
          <x:t xml:space="preserve">Within each subject, pool tasks and hold out one session.</x:t>
        </x:is>
      </x:c>
      <x:c r="H3" s="22" t="inlineStr">
        <x:is>
          <x:t xml:space="preserve">Evaluate on held-out session with pooled task scope.</x:t>
        </x:is>
      </x:c>
      <x:c r="I3" s="22" t="inlineStr">
        <x:is>
          <x:t xml:space="preserve">No test-session information in pooled train transforms.</x:t>
        </x:is>
      </x:c>
      <x:c r="J3" s="22" t="inlineStr">
        <x:is>
          <x:t xml:space="preserve">confirmatory_within_person</x:t>
        </x:is>
      </x:c>
      <x:c r="K3" s="22" t="inlineStr">
        <x:is>
          <x:t xml:space="preserve">confirmatory_cross_person_transfer</x:t>
        </x:is>
      </x:c>
      <x:c r="L3" s="22" t="inlineStr">
        <x:is>
          <x:t xml:space="preserve">Within-person conclusion under pooled task policy.</x:t>
        </x:is>
      </x:c>
      <x:c r="M3" s="22" t="inlineStr">
        <x:is>
          <x:t xml:space="preserve">E02,E16</x:t>
        </x:is>
      </x:c>
      <x:c r="N3" s="22" t="inlineStr">
        <x:is>
          <x:t xml:space="preserve">Chapter 3 Method choice</x:t>
        </x:is>
      </x:c>
      <x:c r="O3" s="22" t="inlineStr">
        <x:is>
          <x:t xml:space="preserve"/>
        </x:is>
      </x:c>
    </x:row>
    <x:row r="4" ht="51.26953125" hidden="0" customHeight="1">
      <x:c r="A4" s="27" t="inlineStr">
        <x:is>
          <x:t xml:space="preserve">GS03</x:t>
        </x:is>
      </x:c>
      <x:c r="B4" s="27" t="inlineStr">
        <x:is>
          <x:t xml:space="preserve">task-specific within-subject LOSO-session</x:t>
        </x:is>
      </x:c>
      <x:c r="C4" s="27" t="inlineStr">
        <x:is>
          <x:t xml:space="preserve">within_subject</x:t>
        </x:is>
      </x:c>
      <x:c r="D4" s="27" t="inlineStr">
        <x:is>
          <x:t xml:space="preserve">subject_session</x:t>
        </x:is>
      </x:c>
      <x:c r="E4" s="27" t="inlineStr">
        <x:is>
          <x:t xml:space="preserve">session</x:t>
        </x:is>
      </x:c>
      <x:c r="F4" s="27" t="inlineStr">
        <x:is>
          <x:t xml:space="preserve">task_level</x:t>
        </x:is>
      </x:c>
      <x:c r="G4" s="27" t="inlineStr">
        <x:is>
          <x:t xml:space="preserve">Within each subject/task, hold out one session.</x:t>
        </x:is>
      </x:c>
      <x:c r="H4" s="27" t="inlineStr">
        <x:is>
          <x:t xml:space="preserve">Test on same-task held-out session.</x:t>
        </x:is>
      </x:c>
      <x:c r="I4" s="27" t="inlineStr">
        <x:is>
          <x:t xml:space="preserve">Task-specific split manifests and train-only preprocessing.</x:t>
        </x:is>
      </x:c>
      <x:c r="J4" s="27" t="inlineStr">
        <x:is>
          <x:t xml:space="preserve">method_choice</x:t>
        </x:is>
      </x:c>
      <x:c r="K4" s="27" t="inlineStr">
        <x:is>
          <x:t xml:space="preserve">confirmatory_cross_person_transfer</x:t>
        </x:is>
      </x:c>
      <x:c r="L4" s="27" t="inlineStr">
        <x:is>
          <x:t xml:space="preserve">Task-conditioned within-person evidence only.</x:t>
        </x:is>
      </x:c>
      <x:c r="M4" s="27" t="inlineStr">
        <x:is>
          <x:t xml:space="preserve">E02,E15</x:t>
        </x:is>
      </x:c>
      <x:c r="N4" s="27" t="inlineStr">
        <x:is>
          <x:t xml:space="preserve">Chapter 3 Method choice</x:t>
        </x:is>
      </x:c>
      <x:c r="O4" s="27" t="inlineStr">
        <x:is>
          <x:t xml:space="preserve"/>
        </x:is>
      </x:c>
    </x:row>
    <x:row r="5" ht="51.26953125" hidden="0" customHeight="1">
      <x:c r="A5" s="22" t="inlineStr">
        <x:is>
          <x:t xml:space="preserve">GS04</x:t>
        </x:is>
      </x:c>
      <x:c r="B5" s="22" t="inlineStr">
        <x:is>
          <x:t xml:space="preserve">modality-specific within-subject LOSO-session</x:t>
        </x:is>
      </x:c>
      <x:c r="C5" s="22" t="inlineStr">
        <x:is>
          <x:t xml:space="preserve">within_subject</x:t>
        </x:is>
      </x:c>
      <x:c r="D5" s="22" t="inlineStr">
        <x:is>
          <x:t xml:space="preserve">subject_session</x:t>
        </x:is>
      </x:c>
      <x:c r="E5" s="22" t="inlineStr">
        <x:is>
          <x:t xml:space="preserve">session</x:t>
        </x:is>
      </x:c>
      <x:c r="F5" s="22" t="inlineStr">
        <x:is>
          <x:t xml:space="preserve">modality_level</x:t>
        </x:is>
      </x:c>
      <x:c r="G5" s="22" t="inlineStr">
        <x:is>
          <x:t xml:space="preserve">Within each subject/modality, hold out one session.</x:t>
        </x:is>
      </x:c>
      <x:c r="H5" s="22" t="inlineStr">
        <x:is>
          <x:t xml:space="preserve">Test on same-modality held-out session.</x:t>
        </x:is>
      </x:c>
      <x:c r="I5" s="22" t="inlineStr">
        <x:is>
          <x:t xml:space="preserve">Modality-specific fold manifests with strict train-only fit.</x:t>
        </x:is>
      </x:c>
      <x:c r="J5" s="22" t="inlineStr">
        <x:is>
          <x:t xml:space="preserve">method_choice</x:t>
        </x:is>
      </x:c>
      <x:c r="K5" s="22" t="inlineStr">
        <x:is>
          <x:t xml:space="preserve">confirmatory_cross_person_transfer</x:t>
        </x:is>
      </x:c>
      <x:c r="L5" s="22" t="inlineStr">
        <x:is>
          <x:t xml:space="preserve">Modality-conditioned within-person evidence only.</x:t>
        </x:is>
      </x:c>
      <x:c r="M5" s="22" t="inlineStr">
        <x:is>
          <x:t xml:space="preserve">E03,E15</x:t>
        </x:is>
      </x:c>
      <x:c r="N5" s="22" t="inlineStr">
        <x:is>
          <x:t xml:space="preserve">Chapter 3 Method choice</x:t>
        </x:is>
      </x:c>
      <x:c r="O5" s="22" t="inlineStr">
        <x:is>
          <x:t xml:space="preserve"/>
        </x:is>
      </x:c>
    </x:row>
    <x:row r="6" ht="68.359375" hidden="0" customHeight="1">
      <x:c r="A6" s="27" t="inlineStr">
        <x:is>
          <x:t xml:space="preserve">GS05</x:t>
        </x:is>
      </x:c>
      <x:c r="B6" s="27" t="inlineStr">
        <x:is>
          <x:t xml:space="preserve">early-train late-test</x:t>
        </x:is>
      </x:c>
      <x:c r="C6" s="27" t="inlineStr">
        <x:is>
          <x:t xml:space="preserve">temporal</x:t>
        </x:is>
      </x:c>
      <x:c r="D6" s="27" t="inlineStr">
        <x:is>
          <x:t xml:space="preserve">session</x:t>
        </x:is>
      </x:c>
      <x:c r="E6" s="27" t="inlineStr">
        <x:is>
          <x:t xml:space="preserve">session</x:t>
        </x:is>
      </x:c>
      <x:c r="F6" s="27" t="inlineStr">
        <x:is>
          <x:t xml:space="preserve">session_level</x:t>
        </x:is>
      </x:c>
      <x:c r="G6" s="27" t="inlineStr">
        <x:is>
          <x:t xml:space="preserve">Train on pre-defined early sessions.</x:t>
        </x:is>
      </x:c>
      <x:c r="H6" s="27" t="inlineStr">
        <x:is>
          <x:t xml:space="preserve">Test on disjoint late sessions.</x:t>
        </x:is>
      </x:c>
      <x:c r="I6" s="27" t="inlineStr">
        <x:is>
          <x:t xml:space="preserve">Fixed temporal boundary and no late-session tuning.</x:t>
        </x:is>
      </x:c>
      <x:c r="J6" s="27" t="inlineStr">
        <x:is>
          <x:t xml:space="preserve">robustness_support</x:t>
        </x:is>
      </x:c>
      <x:c r="K6" s="27" t="inlineStr">
        <x:is>
          <x:t xml:space="preserve">confirmatory_within_person</x:t>
        </x:is>
      </x:c>
      <x:c r="L6" s="27" t="inlineStr">
        <x:is>
          <x:t xml:space="preserve">Temporal transfer sensitivity, not the primary confirmatory claim.</x:t>
        </x:is>
      </x:c>
      <x:c r="M6" s="27" t="inlineStr">
        <x:is>
          <x:t xml:space="preserve">E04,E15</x:t>
        </x:is>
      </x:c>
      <x:c r="N6" s="27" t="inlineStr">
        <x:is>
          <x:t xml:space="preserve">Chapter 4 Supporting robustness</x:t>
        </x:is>
      </x:c>
      <x:c r="O6" s="27" t="inlineStr">
        <x:is>
          <x:t xml:space="preserve"/>
        </x:is>
      </x:c>
    </x:row>
    <x:row r="7" ht="34.1796875" hidden="0" customHeight="1">
      <x:c r="A7" s="22" t="inlineStr">
        <x:is>
          <x:t xml:space="preserve">GS06</x:t>
        </x:is>
      </x:c>
      <x:c r="B7" s="22" t="inlineStr">
        <x:is>
          <x:t xml:space="preserve">frozen cross-person transfer A-&gt;B</x:t>
        </x:is>
      </x:c>
      <x:c r="C7" s="22" t="inlineStr">
        <x:is>
          <x:t xml:space="preserve">cross_person</x:t>
        </x:is>
      </x:c>
      <x:c r="D7" s="22" t="inlineStr">
        <x:is>
          <x:t xml:space="preserve">subject</x:t>
        </x:is>
      </x:c>
      <x:c r="E7" s="22" t="inlineStr">
        <x:is>
          <x:t xml:space="preserve">subject</x:t>
        </x:is>
      </x:c>
      <x:c r="F7" s="22" t="inlineStr">
        <x:is>
          <x:t xml:space="preserve">across_subject</x:t>
        </x:is>
      </x:c>
      <x:c r="G7" s="22" t="inlineStr">
        <x:is>
          <x:t xml:space="preserve">Fit on subject A only (frozen pipeline).</x:t>
        </x:is>
      </x:c>
      <x:c r="H7" s="22" t="inlineStr">
        <x:is>
          <x:t xml:space="preserve">Evaluate on subject B without refit/re-tune.</x:t>
        </x:is>
      </x:c>
      <x:c r="I7" s="22" t="inlineStr">
        <x:is>
          <x:t xml:space="preserve">No test-subject fitting; strict direction lock.</x:t>
        </x:is>
      </x:c>
      <x:c r="J7" s="22" t="inlineStr">
        <x:is>
          <x:t xml:space="preserve">confirmatory_cross_person_transfer</x:t>
        </x:is>
      </x:c>
      <x:c r="K7" s="22" t="inlineStr">
        <x:is>
          <x:t xml:space="preserve">confirmatory_within_person</x:t>
        </x:is>
      </x:c>
      <x:c r="L7" s="22" t="inlineStr">
        <x:is>
          <x:t xml:space="preserve">Directional transfer under domain shift only.</x:t>
        </x:is>
      </x:c>
      <x:c r="M7" s="22" t="inlineStr">
        <x:is>
          <x:t xml:space="preserve">E05,E17</x:t>
        </x:is>
      </x:c>
      <x:c r="N7" s="22" t="inlineStr">
        <x:is>
          <x:t xml:space="preserve">Chapter 4 Main results</x:t>
        </x:is>
      </x:c>
      <x:c r="O7" s="22" t="inlineStr">
        <x:is>
          <x:t xml:space="preserve"/>
        </x:is>
      </x:c>
    </x:row>
    <x:row r="8" ht="34.1796875" hidden="0" customHeight="1">
      <x:c r="A8" s="27" t="inlineStr">
        <x:is>
          <x:t xml:space="preserve">GS07</x:t>
        </x:is>
      </x:c>
      <x:c r="B8" s="27" t="inlineStr">
        <x:is>
          <x:t xml:space="preserve">frozen cross-person transfer B-&gt;A</x:t>
        </x:is>
      </x:c>
      <x:c r="C8" s="27" t="inlineStr">
        <x:is>
          <x:t xml:space="preserve">cross_person</x:t>
        </x:is>
      </x:c>
      <x:c r="D8" s="27" t="inlineStr">
        <x:is>
          <x:t xml:space="preserve">subject</x:t>
        </x:is>
      </x:c>
      <x:c r="E8" s="27" t="inlineStr">
        <x:is>
          <x:t xml:space="preserve">subject</x:t>
        </x:is>
      </x:c>
      <x:c r="F8" s="27" t="inlineStr">
        <x:is>
          <x:t xml:space="preserve">across_subject</x:t>
        </x:is>
      </x:c>
      <x:c r="G8" s="27" t="inlineStr">
        <x:is>
          <x:t xml:space="preserve">Fit on subject B only (frozen pipeline).</x:t>
        </x:is>
      </x:c>
      <x:c r="H8" s="27" t="inlineStr">
        <x:is>
          <x:t xml:space="preserve">Evaluate on subject A without refit/re-tune.</x:t>
        </x:is>
      </x:c>
      <x:c r="I8" s="27" t="inlineStr">
        <x:is>
          <x:t xml:space="preserve">No test-subject fitting; strict direction lock.</x:t>
        </x:is>
      </x:c>
      <x:c r="J8" s="27" t="inlineStr">
        <x:is>
          <x:t xml:space="preserve">confirmatory_cross_person_transfer</x:t>
        </x:is>
      </x:c>
      <x:c r="K8" s="27" t="inlineStr">
        <x:is>
          <x:t xml:space="preserve">confirmatory_within_person</x:t>
        </x:is>
      </x:c>
      <x:c r="L8" s="27" t="inlineStr">
        <x:is>
          <x:t xml:space="preserve">Directional transfer under domain shift only.</x:t>
        </x:is>
      </x:c>
      <x:c r="M8" s="27" t="inlineStr">
        <x:is>
          <x:t xml:space="preserve">E05,E17</x:t>
        </x:is>
      </x:c>
      <x:c r="N8" s="27" t="inlineStr">
        <x:is>
          <x:t xml:space="preserve">Chapter 4 Main results</x:t>
        </x:is>
      </x:c>
      <x:c r="O8" s="27" t="inlineStr">
        <x:is>
          <x:t xml:space="preserve"/>
        </x:is>
      </x:c>
    </x:row>
    <x:row r="9" ht="51.26953125" hidden="0" customHeight="1">
      <x:c r="A9" s="22" t="inlineStr">
        <x:is>
          <x:t xml:space="preserve">GS08</x:t>
        </x:is>
      </x:c>
      <x:c r="B9" s="22" t="inlineStr">
        <x:is>
          <x:t xml:space="preserve">weak split inflation demo</x:t>
        </x:is>
      </x:c>
      <x:c r="C9" s="22" t="inlineStr">
        <x:is>
          <x:t xml:space="preserve">weak_split_demo</x:t>
        </x:is>
      </x:c>
      <x:c r="D9" s="22" t="inlineStr">
        <x:is>
          <x:t xml:space="preserve">custom_group</x:t>
        </x:is>
      </x:c>
      <x:c r="E9" s="22" t="inlineStr">
        <x:is>
          <x:t xml:space="preserve">custom_group</x:t>
        </x:is>
      </x:c>
      <x:c r="F9" s="22" t="inlineStr">
        <x:is>
          <x:t xml:space="preserve">mixed_level</x:t>
        </x:is>
      </x:c>
      <x:c r="G9" s="22" t="inlineStr">
        <x:is>
          <x:t xml:space="preserve">Use intentionally weaker split variant for contrast.</x:t>
        </x:is>
      </x:c>
      <x:c r="H9" s="22" t="inlineStr">
        <x:is>
          <x:t xml:space="preserve">Evaluate inflation magnitude vs strict split.</x:t>
        </x:is>
      </x:c>
      <x:c r="I9" s="22" t="inlineStr">
        <x:is>
          <x:t xml:space="preserve">Tag as weak split and exclude from confirmatory claims.</x:t>
        </x:is>
      </x:c>
      <x:c r="J9" s="22" t="inlineStr">
        <x:is>
          <x:t xml:space="preserve">weak_split_demo_only</x:t>
        </x:is>
      </x:c>
      <x:c r="K9" s="22" t="inlineStr">
        <x:is>
          <x:t xml:space="preserve">confirmatory_within_person</x:t>
        </x:is>
      </x:c>
      <x:c r="L9" s="22" t="inlineStr">
        <x:is>
          <x:t xml:space="preserve">Inflation demonstration only; non-confirmatory.</x:t>
        </x:is>
      </x:c>
      <x:c r="M9" s="22" t="inlineStr">
        <x:is>
          <x:t xml:space="preserve">E04</x:t>
        </x:is>
      </x:c>
      <x:c r="N9" s="22" t="inlineStr">
        <x:is>
          <x:t xml:space="preserve">Chapter 3 Method choice</x:t>
        </x:is>
      </x:c>
      <x:c r="O9" s="22" t="inlineStr">
        <x:is>
          <x:t xml:space="preserve">Permitted only as cautionary demonstration.</x:t>
        </x:is>
      </x:c>
    </x:row>
    <x:row r="10" ht="51.26953125" hidden="0" customHeight="1">
      <x:c r="A10" s="27" t="inlineStr">
        <x:is>
          <x:t xml:space="preserve">GS09</x:t>
        </x:is>
      </x:c>
      <x:c r="B10" s="27" t="inlineStr">
        <x:is>
          <x:t xml:space="preserve">task x modality diagnostic split</x:t>
        </x:is>
      </x:c>
      <x:c r="C10" s="27" t="inlineStr">
        <x:is>
          <x:t xml:space="preserve">diagnostic</x:t>
        </x:is>
      </x:c>
      <x:c r="D10" s="27" t="inlineStr">
        <x:is>
          <x:t xml:space="preserve">task_modality</x:t>
        </x:is>
      </x:c>
      <x:c r="E10" s="27" t="inlineStr">
        <x:is>
          <x:t xml:space="preserve">task_modality</x:t>
        </x:is>
      </x:c>
      <x:c r="F10" s="27" t="inlineStr">
        <x:is>
          <x:t xml:space="preserve">task_modality_level</x:t>
        </x:is>
      </x:c>
      <x:c r="G10" s="27" t="inlineStr">
        <x:is>
          <x:t xml:space="preserve">Train within selected task/modality intersections.</x:t>
        </x:is>
      </x:c>
      <x:c r="H10" s="27" t="inlineStr">
        <x:is>
          <x:t xml:space="preserve">Test on matched or held-out intersections per protocol.</x:t>
        </x:is>
      </x:c>
      <x:c r="I10" s="27" t="inlineStr">
        <x:is>
          <x:t xml:space="preserve">Pre-registered intersection mapping and no adaptive relabeling.</x:t>
        </x:is>
      </x:c>
      <x:c r="J10" s="27" t="inlineStr">
        <x:is>
          <x:t xml:space="preserve">diagnostic_only</x:t>
        </x:is>
      </x:c>
      <x:c r="K10" s="27" t="inlineStr">
        <x:is>
          <x:t xml:space="preserve">confirmatory_within_person</x:t>
        </x:is>
      </x:c>
      <x:c r="L10" s="27" t="inlineStr">
        <x:is>
          <x:t xml:space="preserve">Diagnostic sensitivity only; not core evidence.</x:t>
        </x:is>
      </x:c>
      <x:c r="M10" s="27" t="inlineStr">
        <x:is>
          <x:t xml:space="preserve">E15</x:t>
        </x:is>
      </x:c>
      <x:c r="N10" s="27" t="inlineStr">
        <x:is>
          <x:t xml:space="preserve">Chapter 5 Discussion</x:t>
        </x:is>
      </x:c>
      <x:c r="O10" s="27" t="inlineStr">
        <x:is>
          <x:t xml:space="preserve"/>
        </x:is>
      </x:c>
    </x:row>
    <x:row r="11" ht="68.359375" hidden="0" customHeight="1">
      <x:c r="A11" s="22" t="str">
        <x:v>GS10</x:v>
      </x:c>
      <x:c r="B11" s="22" t="str">
        <x:v>leave-task-out within subject</x:v>
      </x:c>
      <x:c r="C11" s="22" t="str">
        <x:v>diagnostic</x:v>
      </x:c>
      <x:c r="D11" s="22" t="str">
        <x:v>task</x:v>
      </x:c>
      <x:c r="E11" s="22" t="str">
        <x:v>task</x:v>
      </x:c>
      <x:c r="F11" s="22" t="str">
        <x:v>within_subject</x:v>
      </x:c>
      <x:c r="G11" s="22" t="str">
        <x:v>Train on all but one task within a subject.</x:v>
      </x:c>
      <x:c r="H11" s="22" t="str">
        <x:v>Evaluate on the held-out task only.</x:v>
      </x:c>
      <x:c r="I11" s="22" t="str">
        <x:v>Held-out task excluded from all train-side fitting and tuning.</x:v>
      </x:c>
      <x:c r="J11" s="22" t="str">
        <x:v>robustness_support</x:v>
      </x:c>
      <x:c r="K11" s="22" t="str">
        <x:v>confirmatory_cross_person_transfer</x:v>
      </x:c>
      <x:c r="L11" s="22" t="str">
        <x:v>Task-generalization robustness only; not the primary confirmatory claim.</x:v>
      </x:c>
      <x:c r="M11" s="22" t="str">
        <x:v>E21</x:v>
      </x:c>
      <x:c r="N11" s="22" t="str">
        <x:v>Chapter 4 Supporting robustness</x:v>
      </x:c>
      <x:c r="O11" s="22" t="str">
        <x:v>Use a pre-registered held-out task per run.</x:v>
      </x:c>
    </x:row>
    <x:row r="12" ht="68.359375" hidden="0" customHeight="1">
      <x:c r="A12" s="27" t="str">
        <x:v>GS11</x:v>
      </x:c>
      <x:c r="B12" s="27" t="str">
        <x:v>leave-modality-out within subject</x:v>
      </x:c>
      <x:c r="C12" s="27" t="str">
        <x:v>diagnostic</x:v>
      </x:c>
      <x:c r="D12" s="27" t="str">
        <x:v>modality</x:v>
      </x:c>
      <x:c r="E12" s="27" t="str">
        <x:v>modality</x:v>
      </x:c>
      <x:c r="F12" s="27" t="str">
        <x:v>within_subject</x:v>
      </x:c>
      <x:c r="G12" s="27" t="str">
        <x:v>Train on all but one modality within a subject.</x:v>
      </x:c>
      <x:c r="H12" s="27" t="str">
        <x:v>Evaluate on the held-out modality only.</x:v>
      </x:c>
      <x:c r="I12" s="27" t="str">
        <x:v>Held-out modality excluded from all train-side fitting and tuning.</x:v>
      </x:c>
      <x:c r="J12" s="27" t="str">
        <x:v>robustness_support</x:v>
      </x:c>
      <x:c r="K12" s="27" t="str">
        <x:v>confirmatory_cross_person_transfer</x:v>
      </x:c>
      <x:c r="L12" s="27" t="str">
        <x:v>Modality-generalization robustness only; not the primary confirmatory claim.</x:v>
      </x:c>
      <x:c r="M12" s="27" t="str">
        <x:v>E22</x:v>
      </x:c>
      <x:c r="N12" s="27" t="str">
        <x:v>Chapter 4 Supporting robustness</x:v>
      </x:c>
      <x:c r="O12" s="27" t="str">
        <x:v>Use a pre-registered held-out modality per run.</x:v>
      </x:c>
    </x:row>
    <x:row r="13" ht="68.359375" hidden="0" customHeight="1">
      <x:c r="A13" s="22" t="str">
        <x:v>GS12</x:v>
      </x:c>
      <x:c r="B13" s="22" t="str">
        <x:v>session-influence exclusion</x:v>
      </x:c>
      <x:c r="C13" s="22" t="str">
        <x:v>diagnostic</x:v>
      </x:c>
      <x:c r="D13" s="22" t="str">
        <x:v>session</x:v>
      </x:c>
      <x:c r="E13" s="22" t="str">
        <x:v>session</x:v>
      </x:c>
      <x:c r="F13" s="22" t="str">
        <x:v>within_subject</x:v>
      </x:c>
      <x:c r="G13" s="22" t="str">
        <x:v>Train after omitting one designated session from the training pool.</x:v>
      </x:c>
      <x:c r="H13" s="22" t="str">
        <x:v>Evaluate against the standard held-out-session schedule or designated sensitivity schedule.</x:v>
      </x:c>
      <x:c r="I13" s="22" t="str">
        <x:v>Omitted session never re-enters train-side transforms.</x:v>
      </x:c>
      <x:c r="J13" s="22" t="str">
        <x:v>robustness_support</x:v>
      </x:c>
      <x:c r="K13" s="22" t="str">
        <x:v>confirmatory_cross_person_transfer</x:v>
      </x:c>
      <x:c r="L13" s="22" t="str">
        <x:v>Sensitivity / jackknife robustness only.</x:v>
      </x:c>
      <x:c r="M13" s="22" t="str">
        <x:v>E23</x:v>
      </x:c>
      <x:c r="N13" s="22" t="str">
        <x:v>Chapter 4 Supporting robustness</x:v>
      </x:c>
      <x:c r="O13" s="22" t="str">
        <x:v>Use one omission at a time.</x:v>
      </x:c>
    </x:row>
    <x:row r="14" ht="68.359375" hidden="0" customHeight="1">
      <x:c r="A14" s="27" t="str">
        <x:v>GS13</x:v>
      </x:c>
      <x:c r="B14" s="27" t="str">
        <x:v>frozen reproducibility rerun</x:v>
      </x:c>
      <x:c r="C14" s="27" t="str">
        <x:v>audit</x:v>
      </x:c>
      <x:c r="D14" s="27" t="str">
        <x:v>run</x:v>
      </x:c>
      <x:c r="E14" s="27" t="str">
        <x:v>run</x:v>
      </x:c>
      <x:c r="F14" s="27" t="str">
        <x:v>run_level</x:v>
      </x:c>
      <x:c r="G14" s="27" t="str">
        <x:v>Repeat the same frozen confirmatory configuration without changing code or parameters.</x:v>
      </x:c>
      <x:c r="H14" s="27" t="str">
        <x:v>Compare summary outputs and artifact hashes across reruns.</x:v>
      </x:c>
      <x:c r="I14" s="27" t="str">
        <x:v>Frozen config hash and artifact manifest must match expected values.</x:v>
      </x:c>
      <x:c r="J14" s="27" t="str">
        <x:v>diagnostic_only</x:v>
      </x:c>
      <x:c r="K14" s="27" t="str">
        <x:v>confirmatory_within_person</x:v>
      </x:c>
      <x:c r="L14" s="27" t="str">
        <x:v>Operational reproducibility evidence only.</x:v>
      </x:c>
      <x:c r="M14" s="27" t="str">
        <x:v>E24</x:v>
      </x:c>
      <x:c r="N14" s="27" t="str">
        <x:v>Appendix / Method audit</x:v>
      </x:c>
      <x:c r="O14" s="27" t="str">
        <x:v>Supports software-engineering trustworthiness narrative.</x:v>
      </x:c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  <x:c r="N15" s="3" t="n"/>
      <x:c r="O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  <x:c r="K16" s="8" t="n"/>
      <x:c r="L16" s="8" t="n"/>
      <x:c r="M16" s="8" t="n"/>
      <x:c r="N16" s="8" t="n"/>
      <x:c r="O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  <x:c r="N17" s="3" t="n"/>
      <x:c r="O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  <x:c r="K18" s="8" t="n"/>
      <x:c r="L18" s="8" t="n"/>
      <x:c r="M18" s="8" t="n"/>
      <x:c r="N18" s="8" t="n"/>
      <x:c r="O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  <x:c r="N19" s="3" t="n"/>
      <x:c r="O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  <x:c r="K20" s="8" t="n"/>
      <x:c r="L20" s="8" t="n"/>
      <x:c r="M20" s="8" t="n"/>
      <x:c r="N20" s="8" t="n"/>
      <x:c r="O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  <x:c r="O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  <x:c r="K22" s="8" t="n"/>
      <x:c r="L22" s="8" t="n"/>
      <x:c r="M22" s="8" t="n"/>
      <x:c r="N22" s="8" t="n"/>
      <x:c r="O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  <x:c r="O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  <x:c r="K24" s="8" t="n"/>
      <x:c r="L24" s="8" t="n"/>
      <x:c r="M24" s="8" t="n"/>
      <x:c r="N24" s="8" t="n"/>
      <x:c r="O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  <x:c r="O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  <x:c r="K26" s="8" t="n"/>
      <x:c r="L26" s="8" t="n"/>
      <x:c r="M26" s="8" t="n"/>
      <x:c r="N26" s="8" t="n"/>
      <x:c r="O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  <x:c r="O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  <x:c r="K28" s="8" t="n"/>
      <x:c r="L28" s="8" t="n"/>
      <x:c r="M28" s="8" t="n"/>
      <x:c r="N28" s="8" t="n"/>
      <x:c r="O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  <x:c r="K30" s="8" t="n"/>
      <x:c r="L30" s="8" t="n"/>
      <x:c r="M30" s="8" t="n"/>
      <x:c r="N30" s="8" t="n"/>
      <x:c r="O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  <x:c r="O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  <x:c r="K32" s="8" t="n"/>
      <x:c r="L32" s="8" t="n"/>
      <x:c r="M32" s="8" t="n"/>
      <x:c r="N32" s="8" t="n"/>
      <x:c r="O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  <x:c r="O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  <x:c r="K34" s="8" t="n"/>
      <x:c r="L34" s="8" t="n"/>
      <x:c r="M34" s="8" t="n"/>
      <x:c r="N34" s="8" t="n"/>
      <x:c r="O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  <x:c r="O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  <x:c r="K36" s="8" t="n"/>
      <x:c r="L36" s="8" t="n"/>
      <x:c r="M36" s="8" t="n"/>
      <x:c r="N36" s="8" t="n"/>
      <x:c r="O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  <x:c r="O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  <x:c r="K38" s="8" t="n"/>
      <x:c r="L38" s="8" t="n"/>
      <x:c r="M38" s="8" t="n"/>
      <x:c r="N38" s="8" t="n"/>
      <x:c r="O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  <x:c r="O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  <x:c r="K40" s="8" t="n"/>
      <x:c r="L40" s="8" t="n"/>
      <x:c r="M40" s="8" t="n"/>
      <x:c r="N40" s="8" t="n"/>
      <x:c r="O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  <x:c r="O41" s="3" t="n"/>
    </x:row>
  </x:sheetData>
  <x:dataValidations count="7">
    <x:dataValidation type="list" allowBlank="1" showDropDown="0" showInputMessage="0" showErrorMessage="0" sqref="C2:C1000">
      <x:formula1>=List_Split_Family</x:formula1>
    </x:dataValidation>
    <x:dataValidation type="list" allowBlank="1" showDropDown="0" showInputMessage="0" showErrorMessage="0" sqref="D2:D1000">
      <x:formula1>=List_Group_Unit</x:formula1>
    </x:dataValidation>
    <x:dataValidation type="list" allowBlank="1" showDropDown="0" showInputMessage="0" showErrorMessage="0" sqref="E2:E1000">
      <x:formula1>=List_Group_Unit</x:formula1>
    </x:dataValidation>
    <x:dataValidation type="list" allowBlank="1" showDropDown="0" showInputMessage="0" showErrorMessage="0" sqref="F2:F1000">
      <x:formula1>=List_Grouping_Level</x:formula1>
    </x:dataValidation>
    <x:dataValidation type="list" allowBlank="1" showDropDown="0" showInputMessage="0" showErrorMessage="0" sqref="J2:J1000">
      <x:formula1>=List_Use_Case</x:formula1>
    </x:dataValidation>
    <x:dataValidation type="list" allowBlank="1" showDropDown="0" showInputMessage="0" showErrorMessage="0" sqref="K2:K1000">
      <x:formula1>=List_Use_Case</x:formula1>
    </x:dataValidation>
    <x:dataValidation type="list" allowBlank="1" showDropDown="0" showInputMessage="0" showErrorMessage="0" sqref="N2:N1000">
      <x:formula1>=List_Reporting_Destination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6f279768ad4c92"/>
  </x:tableParts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14" customWidth="1"/>
    <x:col min="3" max="3" width="16" customWidth="1"/>
    <x:col min="4" max="4" width="20" customWidth="1"/>
    <x:col min="5" max="5" width="38" customWidth="1"/>
    <x:col min="6" max="6" width="4" customWidth="1"/>
    <x:col min="7" max="7" width="24" customWidth="1"/>
    <x:col min="8" max="8" width="14" customWidth="1"/>
    <x:col min="9" max="9" width="12" customWidth="1"/>
    <x:col min="10" max="10" width="12" customWidth="1"/>
  </x:cols>
  <x:sheetData>
    <x:row r="1">
      <x:c r="A1" s="10" t="inlineStr">
        <x:is>
          <x:t xml:space="preserve">Data Profile and Imbalance Diagnostics</x:t>
        </x:is>
      </x:c>
    </x:row>
    <x:row r="3">
      <x:c r="A3" s="2" t="inlineStr">
        <x:is>
          <x:t xml:space="preserve">How to use</x:t>
        </x:is>
      </x:c>
      <x:c r="B3" s="3" t="inlineStr">
        <x:is>
          <x:t xml:space="preserve">Paste exported counts into Count columns (or maintain manually). Formulas compute shares, imbalance flags, and sparsity flags.</x:t>
        </x:is>
      </x:c>
      <x:c r="C3" s="4" t="n"/>
      <x:c r="D3" s="4" t="n"/>
      <x:c r="E3" s="4" t="n"/>
      <x:c r="F3" s="4" t="n"/>
      <x:c r="G3" s="4" t="n"/>
      <x:c r="H3" s="4" t="n"/>
      <x:c r="I3" s="4" t="n"/>
      <x:c r="J3" s="4" t="n"/>
    </x:row>
    <x:row r="4">
      <x:c r="A4" s="4" t="n"/>
      <x:c r="B4" s="4" t="n"/>
      <x:c r="C4" s="4" t="n"/>
      <x:c r="D4" s="4" t="n"/>
      <x:c r="E4" s="4" t="n"/>
      <x:c r="F4" s="4" t="n"/>
      <x:c r="G4" s="4" t="n"/>
      <x:c r="H4" s="4" t="n"/>
      <x:c r="I4" s="4" t="n"/>
      <x:c r="J4" s="4" t="n"/>
    </x:row>
    <x:row r="6">
      <x:c r="A6" s="11" t="inlineStr">
        <x:is>
          <x:t xml:space="preserve">Threshold controls</x:t>
        </x:is>
      </x:c>
      <x:c r="D6" s="11" t="inlineStr">
        <x:is>
          <x:t xml:space="preserve">Profile summary</x:t>
        </x:is>
      </x:c>
    </x:row>
    <x:row r="7">
      <x:c r="A7" s="4" t="inlineStr">
        <x:is>
          <x:t xml:space="preserve">Sparse count threshold</x:t>
        </x:is>
      </x:c>
      <x:c r="B7" s="4" t="n">
        <x:v>20</x:v>
      </x:c>
      <x:c r="D7" s="4" t="inlineStr">
        <x:is>
          <x:t xml:space="preserve">Total_subject_samples</x:t>
        </x:is>
      </x:c>
      <x:c r="G7" s="4" t="n">
        <x:f>SUM(B13:B20)</x:f>
        <x:v>0</x:v>
      </x:c>
    </x:row>
    <x:row r="8">
      <x:c r="A8" s="12" t="inlineStr">
        <x:is>
          <x:t xml:space="preserve">Mild imbalance ratio (max/min)</x:t>
        </x:is>
      </x:c>
      <x:c r="B8" s="12" t="n">
        <x:v>2</x:v>
      </x:c>
      <x:c r="D8" s="12" t="inlineStr">
        <x:is>
          <x:t xml:space="preserve">Total_session_samples</x:t>
        </x:is>
      </x:c>
      <x:c r="G8" s="12" t="n">
        <x:f>SUM(B25:B34)</x:f>
        <x:v>0</x:v>
      </x:c>
    </x:row>
    <x:row r="9">
      <x:c r="A9" s="4" t="inlineStr">
        <x:is>
          <x:t xml:space="preserve">Severe imbalance ratio (max/min)</x:t>
        </x:is>
      </x:c>
      <x:c r="B9" s="4" t="n">
        <x:v>3</x:v>
      </x:c>
      <x:c r="D9" s="4" t="inlineStr">
        <x:is>
          <x:t xml:space="preserve">Total_task_samples</x:t>
        </x:is>
      </x:c>
      <x:c r="G9" s="4" t="n">
        <x:f>SUM(B39:B45)</x:f>
        <x:v>0</x:v>
      </x:c>
    </x:row>
    <x:row r="10">
      <x:c r="D10" s="12" t="inlineStr">
        <x:is>
          <x:t xml:space="preserve">Total_modality_samples</x:t>
        </x:is>
      </x:c>
      <x:c r="G10" s="12" t="n">
        <x:f>SUM(B50:B55)</x:f>
        <x:v>0</x:v>
      </x:c>
    </x:row>
    <x:row r="11">
      <x:c r="A11" s="13" t="inlineStr">
        <x:is>
          <x:t xml:space="preserve">Counts by subject</x:t>
        </x:is>
      </x:c>
      <x:c r="G11" s="4" t="n">
        <x:f>SUM(B60:B65)</x:f>
        <x:v>0</x:v>
      </x:c>
    </x:row>
    <x:row r="12">
      <x:c r="A12" s="7" t="inlineStr">
        <x:is>
          <x:t xml:space="preserve">Subject_ID</x:t>
        </x:is>
      </x:c>
      <x:c r="B12" s="7" t="inlineStr">
        <x:is>
          <x:t xml:space="preserve">Count</x:t>
        </x:is>
      </x:c>
      <x:c r="C12" s="7" t="inlineStr">
        <x:is>
          <x:t xml:space="preserve">Share_of_Block</x:t>
        </x:is>
      </x:c>
      <x:c r="D12" s="7" t="inlineStr">
        <x:is>
          <x:t xml:space="preserve">Flag</x:t>
        </x:is>
      </x:c>
      <x:c r="E12" s="7" t="inlineStr">
        <x:is>
          <x:t xml:space="preserve">Notes</x:t>
        </x:is>
      </x:c>
      <x:c r="G12" s="12" t="str">
        <x:f>IFERROR(MAX(B60:B65)/MIN(B60:B65),"")</x:f>
      </x:c>
    </x:row>
    <x:row r="13">
      <x:c r="A13" s="3" t="inlineStr">
        <x:is>
          <x:t xml:space="preserve">sub-001</x:t>
        </x:is>
      </x:c>
      <x:c r="B13" s="3" t="n"/>
      <x:c r="C13" s="3" t="n">
        <x:f>IFERROR(B13/SUM($B$13:$B$20),0)</x:f>
        <x:v>0</x:v>
      </x:c>
      <x:c r="D13" s="3" t="str">
        <x:f>IF(B13="","",IF(B13&lt;$B$7,"SPARSE","OK"))</x:f>
      </x:c>
      <x:c r="E13" s="3" t="n"/>
      <x:c r="G13" s="4" t="str">
        <x:f>IF(B60="","",IF(OR(MIN(B60:B65)=0,G12&gt;$B$9),"SEVERE_IMBALANCE",IF(G12&gt;$B$8,"MILD_IMBALANCE","BALANCED")))</x:f>
      </x:c>
    </x:row>
    <x:row r="14">
      <x:c r="A14" s="8" t="inlineStr">
        <x:is>
          <x:t xml:space="preserve">sub-002</x:t>
        </x:is>
      </x:c>
      <x:c r="B14" s="8" t="n"/>
      <x:c r="C14" s="8" t="n">
        <x:f>IFERROR(B14/SUM($B$13:$B$20),0)</x:f>
        <x:v>0</x:v>
      </x:c>
      <x:c r="D14" s="8" t="str">
        <x:f>IF(B14="","",IF(B14&lt;$B$7,"SPARSE","OK"))</x:f>
      </x:c>
      <x:c r="E14" s="8" t="n"/>
    </x:row>
    <x:row r="15">
      <x:c r="A15" s="3" t="inlineStr">
        <x:is>
          <x:t xml:space="preserve">sub-003</x:t>
        </x:is>
      </x:c>
      <x:c r="B15" s="3" t="n"/>
      <x:c r="C15" s="3" t="n">
        <x:f>IFERROR(B15/SUM($B$13:$B$20),0)</x:f>
        <x:v>0</x:v>
      </x:c>
      <x:c r="D15" s="3" t="str">
        <x:f>IF(B15="","",IF(B15&lt;$B$7,"SPARSE","OK"))</x:f>
      </x:c>
      <x:c r="E15" s="3" t="n"/>
    </x:row>
    <x:row r="16">
      <x:c r="A16" s="8" t="inlineStr">
        <x:is>
          <x:t xml:space="preserve">sub-004</x:t>
        </x:is>
      </x:c>
      <x:c r="B16" s="8" t="n"/>
      <x:c r="C16" s="8" t="n">
        <x:f>IFERROR(B16/SUM($B$13:$B$20),0)</x:f>
        <x:v>0</x:v>
      </x:c>
      <x:c r="D16" s="8" t="str">
        <x:f>IF(B16="","",IF(B16&lt;$B$7,"SPARSE","OK"))</x:f>
      </x:c>
      <x:c r="E16" s="8" t="n"/>
    </x:row>
    <x:row r="17">
      <x:c r="A17" s="3" t="inlineStr">
        <x:is>
          <x:t xml:space="preserve">sub-005</x:t>
        </x:is>
      </x:c>
      <x:c r="B17" s="3" t="n"/>
      <x:c r="C17" s="3" t="n">
        <x:f>IFERROR(B17/SUM($B$13:$B$20),0)</x:f>
        <x:v>0</x:v>
      </x:c>
      <x:c r="D17" s="3" t="str">
        <x:f>IF(B17="","",IF(B17&lt;$B$7,"SPARSE","OK"))</x:f>
      </x:c>
      <x:c r="E17" s="3" t="n"/>
    </x:row>
    <x:row r="18">
      <x:c r="A18" s="8" t="inlineStr">
        <x:is>
          <x:t xml:space="preserve">sub-006</x:t>
        </x:is>
      </x:c>
      <x:c r="B18" s="8" t="n"/>
      <x:c r="C18" s="8" t="n">
        <x:f>IFERROR(B18/SUM($B$13:$B$20),0)</x:f>
        <x:v>0</x:v>
      </x:c>
      <x:c r="D18" s="8" t="str">
        <x:f>IF(B18="","",IF(B18&lt;$B$7,"SPARSE","OK"))</x:f>
      </x:c>
      <x:c r="E18" s="8" t="n"/>
    </x:row>
    <x:row r="19">
      <x:c r="A19" s="3" t="inlineStr">
        <x:is>
          <x:t xml:space="preserve">sub-007</x:t>
        </x:is>
      </x:c>
      <x:c r="B19" s="3" t="n"/>
      <x:c r="C19" s="3" t="n">
        <x:f>IFERROR(B19/SUM($B$13:$B$20),0)</x:f>
        <x:v>0</x:v>
      </x:c>
      <x:c r="D19" s="3" t="str">
        <x:f>IF(B19="","",IF(B19&lt;$B$7,"SPARSE","OK"))</x:f>
      </x:c>
      <x:c r="E19" s="3" t="n"/>
    </x:row>
    <x:row r="20">
      <x:c r="A20" s="8" t="inlineStr">
        <x:is>
          <x:t xml:space="preserve">sub-008</x:t>
        </x:is>
      </x:c>
      <x:c r="B20" s="8" t="n"/>
      <x:c r="C20" s="8" t="n">
        <x:f>IFERROR(B20/SUM($B$13:$B$20),0)</x:f>
        <x:v>0</x:v>
      </x:c>
      <x:c r="D20" s="8" t="str">
        <x:f>IF(B20="","",IF(B20&lt;$B$7,"SPARSE","OK"))</x:f>
      </x:c>
      <x:c r="E20" s="8" t="n"/>
    </x:row>
    <x:row r="23">
      <x:c r="A23" s="13" t="inlineStr">
        <x:is>
          <x:t xml:space="preserve">Counts by session</x:t>
        </x:is>
      </x:c>
    </x:row>
    <x:row r="24">
      <x:c r="A24" s="7" t="inlineStr">
        <x:is>
          <x:t xml:space="preserve">Session_ID</x:t>
        </x:is>
      </x:c>
      <x:c r="B24" s="7" t="inlineStr">
        <x:is>
          <x:t xml:space="preserve">Count</x:t>
        </x:is>
      </x:c>
      <x:c r="C24" s="7" t="inlineStr">
        <x:is>
          <x:t xml:space="preserve">Share_of_Block</x:t>
        </x:is>
      </x:c>
      <x:c r="D24" s="7" t="inlineStr">
        <x:is>
          <x:t xml:space="preserve">Flag</x:t>
        </x:is>
      </x:c>
      <x:c r="E24" s="7" t="inlineStr">
        <x:is>
          <x:t xml:space="preserve">Notes</x:t>
        </x:is>
      </x:c>
    </x:row>
    <x:row r="25">
      <x:c r="A25" s="3" t="inlineStr">
        <x:is>
          <x:t xml:space="preserve">ses-01</x:t>
        </x:is>
      </x:c>
      <x:c r="B25" s="3" t="n"/>
      <x:c r="C25" s="3" t="n">
        <x:f>IFERROR(B25/SUM($B$25:$B$34),0)</x:f>
        <x:v>0</x:v>
      </x:c>
      <x:c r="D25" s="3" t="str">
        <x:f>IF(B25="","",IF(B25&lt;$B$7,"SPARSE","OK"))</x:f>
      </x:c>
      <x:c r="E25" s="3" t="n"/>
    </x:row>
    <x:row r="26">
      <x:c r="A26" s="8" t="inlineStr">
        <x:is>
          <x:t xml:space="preserve">ses-02</x:t>
        </x:is>
      </x:c>
      <x:c r="B26" s="8" t="n"/>
      <x:c r="C26" s="8" t="n">
        <x:f>IFERROR(B26/SUM($B$25:$B$34),0)</x:f>
        <x:v>0</x:v>
      </x:c>
      <x:c r="D26" s="8" t="str">
        <x:f>IF(B26="","",IF(B26&lt;$B$7,"SPARSE","OK"))</x:f>
      </x:c>
      <x:c r="E26" s="8" t="n"/>
    </x:row>
    <x:row r="27">
      <x:c r="A27" s="3" t="inlineStr">
        <x:is>
          <x:t xml:space="preserve">ses-03</x:t>
        </x:is>
      </x:c>
      <x:c r="B27" s="3" t="n"/>
      <x:c r="C27" s="3" t="n">
        <x:f>IFERROR(B27/SUM($B$25:$B$34),0)</x:f>
        <x:v>0</x:v>
      </x:c>
      <x:c r="D27" s="3" t="str">
        <x:f>IF(B27="","",IF(B27&lt;$B$7,"SPARSE","OK"))</x:f>
      </x:c>
      <x:c r="E27" s="3" t="n"/>
    </x:row>
    <x:row r="28">
      <x:c r="A28" s="8" t="inlineStr">
        <x:is>
          <x:t xml:space="preserve">ses-04</x:t>
        </x:is>
      </x:c>
      <x:c r="B28" s="8" t="n"/>
      <x:c r="C28" s="8" t="n">
        <x:f>IFERROR(B28/SUM($B$25:$B$34),0)</x:f>
        <x:v>0</x:v>
      </x:c>
      <x:c r="D28" s="8" t="str">
        <x:f>IF(B28="","",IF(B28&lt;$B$7,"SPARSE","OK"))</x:f>
      </x:c>
      <x:c r="E28" s="8" t="n"/>
    </x:row>
    <x:row r="29">
      <x:c r="A29" s="3" t="inlineStr">
        <x:is>
          <x:t xml:space="preserve">ses-05</x:t>
        </x:is>
      </x:c>
      <x:c r="B29" s="3" t="n"/>
      <x:c r="C29" s="3" t="n">
        <x:f>IFERROR(B29/SUM($B$25:$B$34),0)</x:f>
        <x:v>0</x:v>
      </x:c>
      <x:c r="D29" s="3" t="str">
        <x:f>IF(B29="","",IF(B29&lt;$B$7,"SPARSE","OK"))</x:f>
      </x:c>
      <x:c r="E29" s="3" t="n"/>
    </x:row>
    <x:row r="30">
      <x:c r="A30" s="8" t="inlineStr">
        <x:is>
          <x:t xml:space="preserve">ses-06</x:t>
        </x:is>
      </x:c>
      <x:c r="B30" s="8" t="n"/>
      <x:c r="C30" s="8" t="n">
        <x:f>IFERROR(B30/SUM($B$25:$B$34),0)</x:f>
        <x:v>0</x:v>
      </x:c>
      <x:c r="D30" s="8" t="str">
        <x:f>IF(B30="","",IF(B30&lt;$B$7,"SPARSE","OK"))</x:f>
      </x:c>
      <x:c r="E30" s="8" t="n"/>
    </x:row>
    <x:row r="31">
      <x:c r="A31" s="3" t="inlineStr">
        <x:is>
          <x:t xml:space="preserve">ses-07</x:t>
        </x:is>
      </x:c>
      <x:c r="B31" s="3" t="n"/>
      <x:c r="C31" s="3" t="n">
        <x:f>IFERROR(B31/SUM($B$25:$B$34),0)</x:f>
        <x:v>0</x:v>
      </x:c>
      <x:c r="D31" s="3" t="str">
        <x:f>IF(B31="","",IF(B31&lt;$B$7,"SPARSE","OK"))</x:f>
      </x:c>
      <x:c r="E31" s="3" t="n"/>
    </x:row>
    <x:row r="32">
      <x:c r="A32" s="8" t="inlineStr">
        <x:is>
          <x:t xml:space="preserve">ses-08</x:t>
        </x:is>
      </x:c>
      <x:c r="B32" s="8" t="n"/>
      <x:c r="C32" s="8" t="n">
        <x:f>IFERROR(B32/SUM($B$25:$B$34),0)</x:f>
        <x:v>0</x:v>
      </x:c>
      <x:c r="D32" s="8" t="str">
        <x:f>IF(B32="","",IF(B32&lt;$B$7,"SPARSE","OK"))</x:f>
      </x:c>
      <x:c r="E32" s="8" t="n"/>
    </x:row>
    <x:row r="33">
      <x:c r="A33" s="3" t="inlineStr">
        <x:is>
          <x:t xml:space="preserve">ses-09</x:t>
        </x:is>
      </x:c>
      <x:c r="B33" s="3" t="n"/>
      <x:c r="C33" s="3" t="n">
        <x:f>IFERROR(B33/SUM($B$25:$B$34),0)</x:f>
        <x:v>0</x:v>
      </x:c>
      <x:c r="D33" s="3" t="str">
        <x:f>IF(B33="","",IF(B33&lt;$B$7,"SPARSE","OK"))</x:f>
      </x:c>
      <x:c r="E33" s="3" t="n"/>
    </x:row>
    <x:row r="34">
      <x:c r="A34" s="8" t="inlineStr">
        <x:is>
          <x:t xml:space="preserve">ses-10</x:t>
        </x:is>
      </x:c>
      <x:c r="B34" s="8" t="n"/>
      <x:c r="C34" s="8" t="n">
        <x:f>IFERROR(B34/SUM($B$25:$B$34),0)</x:f>
        <x:v>0</x:v>
      </x:c>
      <x:c r="D34" s="8" t="str">
        <x:f>IF(B34="","",IF(B34&lt;$B$7,"SPARSE","OK"))</x:f>
      </x:c>
      <x:c r="E34" s="8" t="n"/>
    </x:row>
    <x:row r="37">
      <x:c r="A37" s="13" t="inlineStr">
        <x:is>
          <x:t xml:space="preserve">Counts by task</x:t>
        </x:is>
      </x:c>
    </x:row>
    <x:row r="38">
      <x:c r="A38" s="7" t="inlineStr">
        <x:is>
          <x:t xml:space="preserve">Task_ID</x:t>
        </x:is>
      </x:c>
      <x:c r="B38" s="7" t="inlineStr">
        <x:is>
          <x:t xml:space="preserve">Count</x:t>
        </x:is>
      </x:c>
      <x:c r="C38" s="7" t="inlineStr">
        <x:is>
          <x:t xml:space="preserve">Share_of_Block</x:t>
        </x:is>
      </x:c>
      <x:c r="D38" s="7" t="inlineStr">
        <x:is>
          <x:t xml:space="preserve">Flag</x:t>
        </x:is>
      </x:c>
      <x:c r="E38" s="7" t="inlineStr">
        <x:is>
          <x:t xml:space="preserve">Notes</x:t>
        </x:is>
      </x:c>
    </x:row>
    <x:row r="39">
      <x:c r="A39" s="3" t="inlineStr">
        <x:is>
          <x:t xml:space="preserve">pooled_all_tasks</x:t>
        </x:is>
      </x:c>
      <x:c r="B39" s="3" t="n"/>
      <x:c r="C39" s="3" t="n">
        <x:f>IFERROR(B39/SUM($B$39:$B$45),0)</x:f>
        <x:v>0</x:v>
      </x:c>
      <x:c r="D39" s="3" t="str">
        <x:f>IF(B39="","",IF(B39&lt;$B$7,"SPARSE","OK"))</x:f>
      </x:c>
      <x:c r="E39" s="3" t="n"/>
    </x:row>
    <x:row r="40">
      <x:c r="A40" s="8" t="inlineStr">
        <x:is>
          <x:t xml:space="preserve">passive_only</x:t>
        </x:is>
      </x:c>
      <x:c r="B40" s="8" t="n"/>
      <x:c r="C40" s="8" t="n">
        <x:f>IFERROR(B40/SUM($B$39:$B$45),0)</x:f>
        <x:v>0</x:v>
      </x:c>
      <x:c r="D40" s="8" t="str">
        <x:f>IF(B40="","",IF(B40&lt;$B$7,"SPARSE","OK"))</x:f>
      </x:c>
      <x:c r="E40" s="8" t="n"/>
    </x:row>
    <x:row r="41">
      <x:c r="A41" s="3" t="inlineStr">
        <x:is>
          <x:t xml:space="preserve">emo_only</x:t>
        </x:is>
      </x:c>
      <x:c r="B41" s="3" t="n"/>
      <x:c r="C41" s="3" t="n">
        <x:f>IFERROR(B41/SUM($B$39:$B$45),0)</x:f>
        <x:v>0</x:v>
      </x:c>
      <x:c r="D41" s="3" t="str">
        <x:f>IF(B41="","",IF(B41&lt;$B$7,"SPARSE","OK"))</x:f>
      </x:c>
      <x:c r="E41" s="3" t="n"/>
    </x:row>
    <x:row r="42">
      <x:c r="A42" s="8" t="inlineStr">
        <x:is>
          <x:t xml:space="preserve">rating_only</x:t>
        </x:is>
      </x:c>
      <x:c r="B42" s="8" t="n"/>
      <x:c r="C42" s="8" t="n">
        <x:f>IFERROR(B42/SUM($B$39:$B$45),0)</x:f>
        <x:v>0</x:v>
      </x:c>
      <x:c r="D42" s="8" t="str">
        <x:f>IF(B42="","",IF(B42&lt;$B$7,"SPARSE","OK"))</x:f>
      </x:c>
      <x:c r="E42" s="8" t="n"/>
    </x:row>
    <x:row r="43">
      <x:c r="A43" s="3" t="inlineStr">
        <x:is>
          <x:t xml:space="preserve">task_specific_other</x:t>
        </x:is>
      </x:c>
      <x:c r="B43" s="3" t="n"/>
      <x:c r="C43" s="3" t="n">
        <x:f>IFERROR(B43/SUM($B$39:$B$45),0)</x:f>
        <x:v>0</x:v>
      </x:c>
      <x:c r="D43" s="3" t="str">
        <x:f>IF(B43="","",IF(B43&lt;$B$7,"SPARSE","OK"))</x:f>
      </x:c>
      <x:c r="E43" s="3" t="n"/>
    </x:row>
    <x:row r="44">
      <x:c r="A44" s="8" t="inlineStr">
        <x:is>
          <x:t xml:space="preserve">custom_task_1</x:t>
        </x:is>
      </x:c>
      <x:c r="B44" s="8" t="n"/>
      <x:c r="C44" s="8" t="n">
        <x:f>IFERROR(B44/SUM($B$39:$B$45),0)</x:f>
        <x:v>0</x:v>
      </x:c>
      <x:c r="D44" s="8" t="str">
        <x:f>IF(B44="","",IF(B44&lt;$B$7,"SPARSE","OK"))</x:f>
      </x:c>
      <x:c r="E44" s="8" t="n"/>
    </x:row>
    <x:row r="45">
      <x:c r="A45" s="3" t="inlineStr">
        <x:is>
          <x:t xml:space="preserve">custom_task_2</x:t>
        </x:is>
      </x:c>
      <x:c r="B45" s="3" t="n"/>
      <x:c r="C45" s="3" t="n">
        <x:f>IFERROR(B45/SUM($B$39:$B$45),0)</x:f>
        <x:v>0</x:v>
      </x:c>
      <x:c r="D45" s="3" t="str">
        <x:f>IF(B45="","",IF(B45&lt;$B$7,"SPARSE","OK"))</x:f>
      </x:c>
      <x:c r="E45" s="3" t="n"/>
    </x:row>
    <x:row r="48">
      <x:c r="A48" s="13" t="inlineStr">
        <x:is>
          <x:t xml:space="preserve">Counts by modality</x:t>
        </x:is>
      </x:c>
    </x:row>
    <x:row r="49">
      <x:c r="A49" s="7" t="inlineStr">
        <x:is>
          <x:t xml:space="preserve">Modality_ID</x:t>
        </x:is>
      </x:c>
      <x:c r="B49" s="7" t="inlineStr">
        <x:is>
          <x:t xml:space="preserve">Count</x:t>
        </x:is>
      </x:c>
      <x:c r="C49" s="7" t="inlineStr">
        <x:is>
          <x:t xml:space="preserve">Share_of_Block</x:t>
        </x:is>
      </x:c>
      <x:c r="D49" s="7" t="inlineStr">
        <x:is>
          <x:t xml:space="preserve">Flag</x:t>
        </x:is>
      </x:c>
      <x:c r="E49" s="7" t="inlineStr">
        <x:is>
          <x:t xml:space="preserve">Notes</x:t>
        </x:is>
      </x:c>
    </x:row>
    <x:row r="50">
      <x:c r="A50" s="8" t="inlineStr">
        <x:is>
          <x:t xml:space="preserve">pooled_all_modalities</x:t>
        </x:is>
      </x:c>
      <x:c r="B50" s="8" t="n"/>
      <x:c r="C50" s="8" t="n">
        <x:f>IFERROR(B50/SUM($B$50:$B$55),0)</x:f>
        <x:v>0</x:v>
      </x:c>
      <x:c r="D50" s="8" t="str">
        <x:f>IF(B50="","",IF(B50&lt;$B$7,"SPARSE","OK"))</x:f>
      </x:c>
      <x:c r="E50" s="8" t="n"/>
    </x:row>
    <x:row r="51">
      <x:c r="A51" s="3" t="inlineStr">
        <x:is>
          <x:t xml:space="preserve">audio_only</x:t>
        </x:is>
      </x:c>
      <x:c r="B51" s="3" t="n"/>
      <x:c r="C51" s="3" t="n">
        <x:f>IFERROR(B51/SUM($B$50:$B$55),0)</x:f>
        <x:v>0</x:v>
      </x:c>
      <x:c r="D51" s="3" t="str">
        <x:f>IF(B51="","",IF(B51&lt;$B$7,"SPARSE","OK"))</x:f>
      </x:c>
      <x:c r="E51" s="3" t="n"/>
    </x:row>
    <x:row r="52">
      <x:c r="A52" s="8" t="inlineStr">
        <x:is>
          <x:t xml:space="preserve">video_only</x:t>
        </x:is>
      </x:c>
      <x:c r="B52" s="8" t="n"/>
      <x:c r="C52" s="8" t="n">
        <x:f>IFERROR(B52/SUM($B$50:$B$55),0)</x:f>
        <x:v>0</x:v>
      </x:c>
      <x:c r="D52" s="8" t="str">
        <x:f>IF(B52="","",IF(B52&lt;$B$7,"SPARSE","OK"))</x:f>
      </x:c>
      <x:c r="E52" s="8" t="n"/>
    </x:row>
    <x:row r="53">
      <x:c r="A53" s="3" t="inlineStr">
        <x:is>
          <x:t xml:space="preserve">audiovisual_only</x:t>
        </x:is>
      </x:c>
      <x:c r="B53" s="3" t="n"/>
      <x:c r="C53" s="3" t="n">
        <x:f>IFERROR(B53/SUM($B$50:$B$55),0)</x:f>
        <x:v>0</x:v>
      </x:c>
      <x:c r="D53" s="3" t="str">
        <x:f>IF(B53="","",IF(B53&lt;$B$7,"SPARSE","OK"))</x:f>
      </x:c>
      <x:c r="E53" s="3" t="n"/>
    </x:row>
    <x:row r="54">
      <x:c r="A54" s="8" t="inlineStr">
        <x:is>
          <x:t xml:space="preserve">custom_modality_1</x:t>
        </x:is>
      </x:c>
      <x:c r="B54" s="8" t="n"/>
      <x:c r="C54" s="8" t="n">
        <x:f>IFERROR(B54/SUM($B$50:$B$55),0)</x:f>
        <x:v>0</x:v>
      </x:c>
      <x:c r="D54" s="8" t="str">
        <x:f>IF(B54="","",IF(B54&lt;$B$7,"SPARSE","OK"))</x:f>
      </x:c>
      <x:c r="E54" s="8" t="n"/>
    </x:row>
    <x:row r="55">
      <x:c r="A55" s="3" t="inlineStr">
        <x:is>
          <x:t xml:space="preserve">custom_modality_2</x:t>
        </x:is>
      </x:c>
      <x:c r="B55" s="3" t="n"/>
      <x:c r="C55" s="3" t="n">
        <x:f>IFERROR(B55/SUM($B$50:$B$55),0)</x:f>
        <x:v>0</x:v>
      </x:c>
      <x:c r="D55" s="3" t="str">
        <x:f>IF(B55="","",IF(B55&lt;$B$7,"SPARSE","OK"))</x:f>
      </x:c>
      <x:c r="E55" s="3" t="n"/>
    </x:row>
    <x:row r="58">
      <x:c r="A58" s="13" t="inlineStr">
        <x:is>
          <x:t xml:space="preserve">Counts by target/class</x:t>
        </x:is>
      </x:c>
    </x:row>
    <x:row r="59">
      <x:c r="A59" s="7" t="inlineStr">
        <x:is>
          <x:t xml:space="preserve">Target_or_Class_ID</x:t>
        </x:is>
      </x:c>
      <x:c r="B59" s="7" t="inlineStr">
        <x:is>
          <x:t xml:space="preserve">Count</x:t>
        </x:is>
      </x:c>
      <x:c r="C59" s="7" t="inlineStr">
        <x:is>
          <x:t xml:space="preserve">Share_of_Block</x:t>
        </x:is>
      </x:c>
      <x:c r="D59" s="7" t="inlineStr">
        <x:is>
          <x:t xml:space="preserve">Flag</x:t>
        </x:is>
      </x:c>
      <x:c r="E59" s="7" t="inlineStr">
        <x:is>
          <x:t xml:space="preserve">Notes</x:t>
        </x:is>
      </x:c>
    </x:row>
    <x:row r="60">
      <x:c r="A60" s="8" t="inlineStr">
        <x:is>
          <x:t xml:space="preserve">coarse_affect_neg</x:t>
        </x:is>
      </x:c>
      <x:c r="B60" s="8" t="n"/>
      <x:c r="C60" s="8" t="n">
        <x:f>IFERROR(B60/SUM($B$60:$B$65),0)</x:f>
        <x:v>0</x:v>
      </x:c>
      <x:c r="D60" s="8" t="str">
        <x:f>IF(B60="","",IF(OR(MIN($B$60:$B$65)=0,MAX($B$60:$B$65)/MIN($B$60:$B$65)&gt;$B$9),"SEVERE_IMBALANCE",IF(MAX($B$60:$B$65)/MIN($B$60:$B$65)&gt;$B$8,"MILD_IMBALANCE","BALANCED")))</x:f>
      </x:c>
      <x:c r="E60" s="8" t="n"/>
    </x:row>
    <x:row r="61">
      <x:c r="A61" s="3" t="inlineStr">
        <x:is>
          <x:t xml:space="preserve">coarse_affect_neu</x:t>
        </x:is>
      </x:c>
      <x:c r="B61" s="3" t="n"/>
      <x:c r="C61" s="3" t="n">
        <x:f>IFERROR(B61/SUM($B$60:$B$65),0)</x:f>
        <x:v>0</x:v>
      </x:c>
      <x:c r="D61" s="3" t="str">
        <x:f>IF(B61="","",IF(OR(MIN($B$60:$B$65)=0,MAX($B$60:$B$65)/MIN($B$60:$B$65)&gt;$B$9),"SEVERE_IMBALANCE",IF(MAX($B$60:$B$65)/MIN($B$60:$B$65)&gt;$B$8,"MILD_IMBALANCE","BALANCED")))</x:f>
      </x:c>
      <x:c r="E61" s="3" t="n"/>
    </x:row>
    <x:row r="62">
      <x:c r="A62" s="8" t="inlineStr">
        <x:is>
          <x:t xml:space="preserve">coarse_affect_pos</x:t>
        </x:is>
      </x:c>
      <x:c r="B62" s="8" t="n"/>
      <x:c r="C62" s="8" t="n">
        <x:f>IFERROR(B62/SUM($B$60:$B$65),0)</x:f>
        <x:v>0</x:v>
      </x:c>
      <x:c r="D62" s="8" t="str">
        <x:f>IF(B62="","",IF(OR(MIN($B$60:$B$65)=0,MAX($B$60:$B$65)/MIN($B$60:$B$65)&gt;$B$9),"SEVERE_IMBALANCE",IF(MAX($B$60:$B$65)/MIN($B$60:$B$65)&gt;$B$8,"MILD_IMBALANCE","BALANCED")))</x:f>
      </x:c>
      <x:c r="E62" s="8" t="n"/>
    </x:row>
    <x:row r="63">
      <x:c r="A63" s="3" t="inlineStr">
        <x:is>
          <x:t xml:space="preserve">binary_neg</x:t>
        </x:is>
      </x:c>
      <x:c r="B63" s="3" t="n"/>
      <x:c r="C63" s="3" t="n">
        <x:f>IFERROR(B63/SUM($B$60:$B$65),0)</x:f>
        <x:v>0</x:v>
      </x:c>
      <x:c r="D63" s="3" t="str">
        <x:f>IF(B63="","",IF(OR(MIN($B$60:$B$65)=0,MAX($B$60:$B$65)/MIN($B$60:$B$65)&gt;$B$9),"SEVERE_IMBALANCE",IF(MAX($B$60:$B$65)/MIN($B$60:$B$65)&gt;$B$8,"MILD_IMBALANCE","BALANCED")))</x:f>
      </x:c>
      <x:c r="E63" s="3" t="n"/>
    </x:row>
    <x:row r="64">
      <x:c r="A64" s="8" t="inlineStr">
        <x:is>
          <x:t xml:space="preserve">binary_pos</x:t>
        </x:is>
      </x:c>
      <x:c r="B64" s="8" t="n"/>
      <x:c r="C64" s="8" t="n">
        <x:f>IFERROR(B64/SUM($B$60:$B$65),0)</x:f>
        <x:v>0</x:v>
      </x:c>
      <x:c r="D64" s="8" t="str">
        <x:f>IF(B64="","",IF(OR(MIN($B$60:$B$65)=0,MAX($B$60:$B$65)/MIN($B$60:$B$65)&gt;$B$9),"SEVERE_IMBALANCE",IF(MAX($B$60:$B$65)/MIN($B$60:$B$65)&gt;$B$8,"MILD_IMBALANCE","BALANCED")))</x:f>
      </x:c>
      <x:c r="E64" s="8" t="n"/>
    </x:row>
    <x:row r="65">
      <x:c r="A65" s="3" t="inlineStr">
        <x:is>
          <x:t xml:space="preserve">custom_class_1</x:t>
        </x:is>
      </x:c>
      <x:c r="B65" s="3" t="n"/>
      <x:c r="C65" s="3" t="n">
        <x:f>IFERROR(B65/SUM($B$60:$B$65),0)</x:f>
        <x:v>0</x:v>
      </x:c>
      <x:c r="D65" s="3" t="str">
        <x:f>IF(B65="","",IF(OR(MIN($B$60:$B$65)=0,MAX($B$60:$B$65)/MIN($B$60:$B$65)&gt;$B$9),"SEVERE_IMBALANCE",IF(MAX($B$60:$B$65)/MIN($B$60:$B$65)&gt;$B$8,"MILD_IMBALANCE","BALANCED")))</x:f>
      </x:c>
      <x:c r="E65" s="3" t="n"/>
    </x:row>
    <x:row r="69">
      <x:c r="A69" s="13" t="inlineStr">
        <x:is>
          <x:t xml:space="preserve">Counts by Data_Slice_ID</x:t>
        </x:is>
      </x:c>
    </x:row>
    <x:row r="70">
      <x:c r="A70" s="7" t="inlineStr">
        <x:is>
          <x:t xml:space="preserve">Data_Slice_ID</x:t>
        </x:is>
      </x:c>
      <x:c r="B70" s="7" t="inlineStr">
        <x:is>
          <x:t xml:space="preserve">Count</x:t>
        </x:is>
      </x:c>
      <x:c r="C70" s="7" t="inlineStr">
        <x:is>
          <x:t xml:space="preserve">Share_of_Block</x:t>
        </x:is>
      </x:c>
      <x:c r="D70" s="7" t="inlineStr">
        <x:is>
          <x:t xml:space="preserve">Flag</x:t>
        </x:is>
      </x:c>
      <x:c r="E70" s="7" t="inlineStr">
        <x:is>
          <x:t xml:space="preserve">Notes</x:t>
        </x:is>
      </x:c>
    </x:row>
    <x:row r="71">
      <x:c r="A71" s="3" t="str">
        <x:f>IFERROR(Data_Selection_Design!$A2,"")</x:f>
        <x:v>DS01</x:v>
      </x:c>
      <x:c r="B71" s="3" t="n"/>
      <x:c r="C71" s="3" t="n">
        <x:f>IFERROR(B71/SUM($B$71:$B$80),0)</x:f>
        <x:v>0</x:v>
      </x:c>
      <x:c r="D71" s="3" t="str">
        <x:f>IF(B71="","",IF(B71&lt;$B$7,"SPARSE","OK"))</x:f>
      </x:c>
      <x:c r="E71" s="3" t="n"/>
    </x:row>
    <x:row r="72">
      <x:c r="A72" s="8" t="str">
        <x:f>IFERROR(Data_Selection_Design!$A3,"")</x:f>
        <x:v>DS02</x:v>
      </x:c>
      <x:c r="B72" s="8" t="n"/>
      <x:c r="C72" s="8" t="n">
        <x:f>IFERROR(B72/SUM($B$71:$B$80),0)</x:f>
        <x:v>0</x:v>
      </x:c>
      <x:c r="D72" s="8" t="str">
        <x:f>IF(B72="","",IF(B72&lt;$B$7,"SPARSE","OK"))</x:f>
      </x:c>
      <x:c r="E72" s="8" t="n"/>
    </x:row>
    <x:row r="73">
      <x:c r="A73" s="3" t="str">
        <x:f>IFERROR(Data_Selection_Design!$A4,"")</x:f>
        <x:v>DS03</x:v>
      </x:c>
      <x:c r="B73" s="3" t="n"/>
      <x:c r="C73" s="3" t="n">
        <x:f>IFERROR(B73/SUM($B$71:$B$80),0)</x:f>
        <x:v>0</x:v>
      </x:c>
      <x:c r="D73" s="3" t="str">
        <x:f>IF(B73="","",IF(B73&lt;$B$7,"SPARSE","OK"))</x:f>
      </x:c>
      <x:c r="E73" s="3" t="n"/>
    </x:row>
    <x:row r="74">
      <x:c r="A74" s="8" t="str">
        <x:f>IFERROR(Data_Selection_Design!$A5,"")</x:f>
        <x:v>DS04</x:v>
      </x:c>
      <x:c r="B74" s="8" t="n"/>
      <x:c r="C74" s="8" t="n">
        <x:f>IFERROR(B74/SUM($B$71:$B$80),0)</x:f>
        <x:v>0</x:v>
      </x:c>
      <x:c r="D74" s="8" t="str">
        <x:f>IF(B74="","",IF(B74&lt;$B$7,"SPARSE","OK"))</x:f>
      </x:c>
      <x:c r="E74" s="8" t="n"/>
    </x:row>
    <x:row r="75">
      <x:c r="A75" s="3" t="str">
        <x:f>IFERROR(Data_Selection_Design!$A6,"")</x:f>
        <x:v>DS05</x:v>
      </x:c>
      <x:c r="B75" s="3" t="n"/>
      <x:c r="C75" s="3" t="n">
        <x:f>IFERROR(B75/SUM($B$71:$B$80),0)</x:f>
        <x:v>0</x:v>
      </x:c>
      <x:c r="D75" s="3" t="str">
        <x:f>IF(B75="","",IF(B75&lt;$B$7,"SPARSE","OK"))</x:f>
      </x:c>
      <x:c r="E75" s="3" t="n"/>
    </x:row>
    <x:row r="76">
      <x:c r="A76" s="8" t="str">
        <x:f>IFERROR(Data_Selection_Design!$A7,"")</x:f>
        <x:v>DS06</x:v>
      </x:c>
      <x:c r="B76" s="8" t="n"/>
      <x:c r="C76" s="8" t="n">
        <x:f>IFERROR(B76/SUM($B$71:$B$80),0)</x:f>
        <x:v>0</x:v>
      </x:c>
      <x:c r="D76" s="8" t="str">
        <x:f>IF(B76="","",IF(B76&lt;$B$7,"SPARSE","OK"))</x:f>
      </x:c>
      <x:c r="E76" s="8" t="n"/>
    </x:row>
    <x:row r="77">
      <x:c r="A77" s="3" t="str">
        <x:f>IFERROR(Data_Selection_Design!$A8,"")</x:f>
        <x:v>DS07</x:v>
      </x:c>
      <x:c r="B77" s="3" t="n"/>
      <x:c r="C77" s="3" t="n">
        <x:f>IFERROR(B77/SUM($B$71:$B$80),0)</x:f>
        <x:v>0</x:v>
      </x:c>
      <x:c r="D77" s="3" t="str">
        <x:f>IF(B77="","",IF(B77&lt;$B$7,"SPARSE","OK"))</x:f>
      </x:c>
      <x:c r="E77" s="3" t="n"/>
    </x:row>
    <x:row r="78">
      <x:c r="A78" s="8" t="str">
        <x:f>IFERROR(Data_Selection_Design!$A9,"")</x:f>
        <x:v>DS08</x:v>
      </x:c>
      <x:c r="B78" s="8" t="n"/>
      <x:c r="C78" s="8" t="n">
        <x:f>IFERROR(B78/SUM($B$71:$B$80),0)</x:f>
        <x:v>0</x:v>
      </x:c>
      <x:c r="D78" s="8" t="str">
        <x:f>IF(B78="","",IF(B78&lt;$B$7,"SPARSE","OK"))</x:f>
      </x:c>
      <x:c r="E78" s="8" t="n"/>
    </x:row>
    <x:row r="79">
      <x:c r="A79" s="3" t="str">
        <x:f>IFERROR(Data_Selection_Design!$A10,"")</x:f>
        <x:v>DS09</x:v>
      </x:c>
      <x:c r="B79" s="3" t="n"/>
      <x:c r="C79" s="3" t="n">
        <x:f>IFERROR(B79/SUM($B$71:$B$80),0)</x:f>
        <x:v>0</x:v>
      </x:c>
      <x:c r="D79" s="3" t="str">
        <x:f>IF(B79="","",IF(B79&lt;$B$7,"SPARSE","OK"))</x:f>
      </x:c>
      <x:c r="E79" s="3" t="n"/>
    </x:row>
    <x:row r="80">
      <x:c r="A80" s="8" t="str">
        <x:f>IFERROR(Data_Selection_Design!$A11,"")</x:f>
        <x:v>DS10</x:v>
      </x:c>
      <x:c r="B80" s="8" t="n"/>
      <x:c r="C80" s="8" t="n">
        <x:f>IFERROR(B80/SUM($B$71:$B$80),0)</x:f>
        <x:v>0</x:v>
      </x:c>
      <x:c r="D80" s="8" t="str">
        <x:f>IF(B80="","",IF(B80&lt;$B$7,"SPARSE","OK"))</x:f>
      </x:c>
      <x:c r="E80" s="8" t="n"/>
    </x:row>
  </x:sheetData>
  <x:mergeCells>
    <x:mergeCell ref="A1:J1"/>
    <x:mergeCell ref="A69:E69"/>
    <x:mergeCell ref="A48:E48"/>
    <x:mergeCell ref="A11:E11"/>
    <x:mergeCell ref="A23:E23"/>
    <x:mergeCell ref="A37:E37"/>
    <x:mergeCell ref="B3:J4"/>
    <x:mergeCell ref="A58:E58"/>
  </x:mergeCells>
  <x:pageMargins left="0.7" right="0.7" top="0.75" bottom="0.75" header="0.3" footer="0.3"/>
  <x:tableParts count="6">
    <x:tablePart xmlns:r="http://schemas.openxmlformats.org/officeDocument/2006/relationships" r:id="R1c1b7485c90d4d2f"/>
    <x:tablePart xmlns:r="http://schemas.openxmlformats.org/officeDocument/2006/relationships" r:id="R47cc124b53de49e1"/>
    <x:tablePart xmlns:r="http://schemas.openxmlformats.org/officeDocument/2006/relationships" r:id="R2dffc0395b2f45df"/>
    <x:tablePart xmlns:r="http://schemas.openxmlformats.org/officeDocument/2006/relationships" r:id="Rb10f2db673164e61"/>
    <x:tablePart xmlns:r="http://schemas.openxmlformats.org/officeDocument/2006/relationships" r:id="R6d0b523e799e4a30"/>
    <x:tablePart xmlns:r="http://schemas.openxmlformats.org/officeDocument/2006/relationships" r:id="Rea92c96185144f1a"/>
  </x:tableParts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13" customWidth="1"/>
    <x:col min="3" max="3" width="12" customWidth="1"/>
    <x:col min="4" max="4" width="20" customWidth="1"/>
    <x:col min="5" max="5" width="22" customWidth="1"/>
    <x:col min="6" max="6" width="12" customWidth="1"/>
    <x:col min="7" max="7" width="16" customWidth="1"/>
    <x:col min="8" max="8" width="22" customWidth="1"/>
    <x:col min="9" max="9" width="30" customWidth="1"/>
    <x:col min="10" max="10" width="12" customWidth="1"/>
    <x:col min="11" max="11" width="16" customWidth="1"/>
    <x:col min="12" max="12" width="24" customWidth="1"/>
    <x:col min="13" max="13" width="22" customWidth="1"/>
    <x:col min="14" max="14" width="22" customWidth="1"/>
    <x:col min="15" max="15" width="18" customWidth="1"/>
    <x:col min="16" max="16" width="18" customWidth="1"/>
    <x:col min="17" max="17" width="18" customWidth="1"/>
    <x:col min="18" max="18" width="20" customWidth="1"/>
    <x:col min="19" max="19" width="16" customWidth="1"/>
    <x:col min="20" max="20" width="22" customWidth="1"/>
    <x:col min="21" max="21" width="18" customWidth="1"/>
    <x:col min="22" max="22" width="18" customWidth="1"/>
    <x:col min="23" max="23" width="22" customWidth="1"/>
    <x:col min="24" max="24" width="12" customWidth="1"/>
    <x:col min="25" max="25" width="20" customWidth="1"/>
    <x:col min="26" max="26" width="18" customWidth="1"/>
    <x:col min="27" max="27" width="20" customWidth="1"/>
    <x:col min="28" max="28" width="18" customWidth="1"/>
    <x:col min="29" max="29" width="18" customWidth="1"/>
    <x:col min="30" max="30" width="18" customWidth="1"/>
    <x:col min="31" max="31" width="30" customWidth="1"/>
    <x:col min="32" max="32" width="28" customWidth="1"/>
    <x:col min="33" max="33" width="34" customWidth="1"/>
    <x:col min="34" max="34" width="12" customWidth="1"/>
    <x:col min="35" max="35" width="14" customWidth="1"/>
    <x:col min="36" max="36" width="36" customWidth="1"/>
    <x:col min="37" max="37" width="28" customWidth="1"/>
  </x:cols>
  <x:sheetData>
    <x:row r="1">
      <x:c r="A1" s="7" t="inlineStr">
        <x:is>
          <x:t xml:space="preserve">Run_ID</x:t>
        </x:is>
      </x:c>
      <x:c r="B1" s="7" t="inlineStr">
        <x:is>
          <x:t xml:space="preserve">Experiment_ID</x:t>
        </x:is>
      </x:c>
      <x:c r="C1" s="7" t="inlineStr">
        <x:is>
          <x:t xml:space="preserve">Run_Date</x:t>
        </x:is>
      </x:c>
      <x:c r="D1" s="7" t="inlineStr">
        <x:is>
          <x:t xml:space="preserve">Dataset_Name</x:t>
        </x:is>
      </x:c>
      <x:c r="E1" s="7" t="inlineStr">
        <x:is>
          <x:t xml:space="preserve">Data_Subset</x:t>
        </x:is>
      </x:c>
      <x:c r="F1" s="7" t="inlineStr">
        <x:is>
          <x:t xml:space="preserve">Data_Slice_ID</x:t>
        </x:is>
      </x:c>
      <x:c r="G1" s="7" t="inlineStr">
        <x:is>
          <x:t xml:space="preserve">Grouping_Strategy_ID</x:t>
        </x:is>
      </x:c>
      <x:c r="H1" s="7" t="inlineStr">
        <x:is>
          <x:t xml:space="preserve">Code_Commit_or_Version</x:t>
        </x:is>
      </x:c>
      <x:c r="I1" s="7" t="inlineStr">
        <x:is>
          <x:t xml:space="preserve">Config_File_or_Path</x:t>
        </x:is>
      </x:c>
      <x:c r="J1" s="7" t="inlineStr">
        <x:is>
          <x:t xml:space="preserve">Random_Seed</x:t>
        </x:is>
      </x:c>
      <x:c r="K1" s="7" t="inlineStr">
        <x:is>
          <x:t xml:space="preserve">Target</x:t>
        </x:is>
      </x:c>
      <x:c r="L1" s="7" t="inlineStr">
        <x:is>
          <x:t xml:space="preserve">Split_ID_or_Fold_Definition</x:t>
        </x:is>
      </x:c>
      <x:c r="M1" s="7" t="inlineStr">
        <x:is>
          <x:t xml:space="preserve">Train_Group_Rule</x:t>
        </x:is>
      </x:c>
      <x:c r="N1" s="7" t="inlineStr">
        <x:is>
          <x:t xml:space="preserve">Test_Group_Rule</x:t>
        </x:is>
      </x:c>
      <x:c r="O1" s="7" t="inlineStr">
        <x:is>
          <x:t xml:space="preserve">Transfer_Direction</x:t>
        </x:is>
      </x:c>
      <x:c r="P1" s="7" t="inlineStr">
        <x:is>
          <x:t xml:space="preserve">Session_Coverage</x:t>
        </x:is>
      </x:c>
      <x:c r="Q1" s="7" t="inlineStr">
        <x:is>
          <x:t xml:space="preserve">Task_Coverage</x:t>
        </x:is>
      </x:c>
      <x:c r="R1" s="7" t="inlineStr">
        <x:is>
          <x:t xml:space="preserve">Modality_Coverage</x:t>
        </x:is>
      </x:c>
      <x:c r="S1" s="7" t="inlineStr">
        <x:is>
          <x:t xml:space="preserve">Model</x:t>
        </x:is>
      </x:c>
      <x:c r="T1" s="7" t="inlineStr">
        <x:is>
          <x:t xml:space="preserve">Feature_Set</x:t>
        </x:is>
      </x:c>
      <x:c r="U1" s="7" t="inlineStr">
        <x:is>
          <x:t xml:space="preserve">Run_Type</x:t>
        </x:is>
      </x:c>
      <x:c r="V1" s="7" t="inlineStr">
        <x:is>
          <x:t xml:space="preserve">Affects_Frozen_Pipeline</x:t>
        </x:is>
      </x:c>
      <x:c r="W1" s="7" t="inlineStr">
        <x:is>
          <x:t xml:space="preserve">Eligible_for_Method_Decision</x:t>
        </x:is>
      </x:c>
      <x:c r="X1" s="7" t="inlineStr">
        <x:is>
          <x:t xml:space="preserve">Sample_Count</x:t>
        </x:is>
      </x:c>
      <x:c r="Y1" s="7" t="inlineStr">
        <x:is>
          <x:t xml:space="preserve">Class_Counts</x:t>
        </x:is>
      </x:c>
      <x:c r="Z1" s="7" t="inlineStr">
        <x:is>
          <x:t xml:space="preserve">Imbalance_Status</x:t>
        </x:is>
      </x:c>
      <x:c r="AA1" s="7" t="inlineStr">
        <x:is>
          <x:t xml:space="preserve">Leakage_Check_Status</x:t>
        </x:is>
      </x:c>
      <x:c r="AB1" s="7" t="inlineStr">
        <x:is>
          <x:t xml:space="preserve">Primary_Metric_Value</x:t>
        </x:is>
      </x:c>
      <x:c r="AC1" s="7" t="inlineStr">
        <x:is>
          <x:t xml:space="preserve">Secondary_Metric_1</x:t>
        </x:is>
      </x:c>
      <x:c r="AD1" s="7" t="inlineStr">
        <x:is>
          <x:t xml:space="preserve">Secondary_Metric_2</x:t>
        </x:is>
      </x:c>
      <x:c r="AE1" s="7" t="inlineStr">
        <x:is>
          <x:t xml:space="preserve">Robustness_Output_Summary</x:t>
        </x:is>
      </x:c>
      <x:c r="AF1" s="7" t="inlineStr">
        <x:is>
          <x:t xml:space="preserve">Result_Summary</x:t>
        </x:is>
      </x:c>
      <x:c r="AG1" s="7" t="inlineStr">
        <x:is>
          <x:t xml:space="preserve">Preliminary_Interpretation</x:t>
        </x:is>
      </x:c>
      <x:c r="AH1" s="7" t="inlineStr">
        <x:is>
          <x:t xml:space="preserve">Reviewed</x:t>
        </x:is>
      </x:c>
      <x:c r="AI1" s="7" t="inlineStr">
        <x:is>
          <x:t xml:space="preserve">Used_in_Thesis</x:t>
        </x:is>
      </x:c>
      <x:c r="AJ1" s="7" t="inlineStr">
        <x:is>
          <x:t xml:space="preserve">Artifact_Path</x:t>
        </x:is>
      </x:c>
      <x:c r="AK1" s="7" t="inlineStr">
        <x:is>
          <x:t xml:space="preserve">Notes</x:t>
        </x:is>
      </x:c>
    </x:row>
    <x:row r="2">
      <x:c r="A2" s="8" t="n"/>
      <x:c r="B2" s="8" t="n"/>
      <x:c r="C2" s="8" t="n"/>
      <x:c r="D2" s="8" t="n"/>
      <x:c r="E2" s="8" t="n"/>
      <x:c r="F2" s="8" t="n"/>
      <x:c r="G2" s="8" t="n"/>
      <x:c r="H2" s="8" t="n"/>
      <x:c r="I2" s="8" t="n"/>
      <x:c r="J2" s="8" t="n"/>
      <x:c r="K2" s="8" t="n"/>
      <x:c r="L2" s="8" t="n"/>
      <x:c r="M2" s="8" t="n"/>
      <x:c r="N2" s="8" t="n"/>
      <x:c r="O2" s="8" t="n"/>
      <x:c r="P2" s="8" t="n"/>
      <x:c r="Q2" s="8" t="n"/>
      <x:c r="R2" s="8" t="n"/>
      <x:c r="S2" s="8" t="n"/>
      <x:c r="T2" s="8" t="n"/>
      <x:c r="U2" s="8" t="n"/>
      <x:c r="V2" s="8" t="n"/>
      <x:c r="W2" s="8" t="n"/>
      <x:c r="X2" s="8" t="n"/>
      <x:c r="Y2" s="8" t="n"/>
      <x:c r="Z2" s="8" t="n"/>
      <x:c r="AA2" s="8" t="n"/>
      <x:c r="AB2" s="8" t="n"/>
      <x:c r="AC2" s="8" t="n"/>
      <x:c r="AD2" s="8" t="n"/>
      <x:c r="AE2" s="8" t="n"/>
      <x:c r="AF2" s="8" t="n"/>
      <x:c r="AG2" s="8" t="n"/>
      <x:c r="AH2" s="8" t="n"/>
      <x:c r="AI2" s="8" t="n"/>
      <x:c r="AJ2" s="8" t="n"/>
      <x:c r="AK2" s="8" t="n"/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  <x:c r="AB3" s="3" t="n"/>
      <x:c r="AC3" s="3" t="n"/>
      <x:c r="AD3" s="3" t="n"/>
      <x:c r="AE3" s="3" t="n"/>
      <x:c r="AF3" s="3" t="n"/>
      <x:c r="AG3" s="3" t="n"/>
      <x:c r="AH3" s="3" t="n"/>
      <x:c r="AI3" s="3" t="n"/>
      <x:c r="AJ3" s="3" t="n"/>
      <x:c r="AK3" s="3" t="n"/>
    </x:row>
    <x:row r="4">
      <x:c r="A4" s="8" t="n"/>
      <x:c r="B4" s="8" t="n"/>
      <x:c r="C4" s="8" t="n"/>
      <x:c r="D4" s="8" t="n"/>
      <x:c r="E4" s="8" t="n"/>
      <x:c r="F4" s="8" t="n"/>
      <x:c r="G4" s="8" t="n"/>
      <x:c r="H4" s="8" t="n"/>
      <x:c r="I4" s="8" t="n"/>
      <x:c r="J4" s="8" t="n"/>
      <x:c r="K4" s="8" t="n"/>
      <x:c r="L4" s="8" t="n"/>
      <x:c r="M4" s="8" t="n"/>
      <x:c r="N4" s="8" t="n"/>
      <x:c r="O4" s="8" t="n"/>
      <x:c r="P4" s="8" t="n"/>
      <x:c r="Q4" s="8" t="n"/>
      <x:c r="R4" s="8" t="n"/>
      <x:c r="S4" s="8" t="n"/>
      <x:c r="T4" s="8" t="n"/>
      <x:c r="U4" s="8" t="n"/>
      <x:c r="V4" s="8" t="n"/>
      <x:c r="W4" s="8" t="n"/>
      <x:c r="X4" s="8" t="n"/>
      <x:c r="Y4" s="8" t="n"/>
      <x:c r="Z4" s="8" t="n"/>
      <x:c r="AA4" s="8" t="n"/>
      <x:c r="AB4" s="8" t="n"/>
      <x:c r="AC4" s="8" t="n"/>
      <x:c r="AD4" s="8" t="n"/>
      <x:c r="AE4" s="8" t="n"/>
      <x:c r="AF4" s="8" t="n"/>
      <x:c r="AG4" s="8" t="n"/>
      <x:c r="AH4" s="8" t="n"/>
      <x:c r="AI4" s="8" t="n"/>
      <x:c r="AJ4" s="8" t="n"/>
      <x:c r="AK4" s="8" t="n"/>
    </x:row>
    <x:row r="5">
      <x:c r="A5" s="3" t="n"/>
      <x:c r="B5" s="3" t="n"/>
      <x:c r="C5" s="3" t="n"/>
      <x:c r="D5" s="3" t="n"/>
      <x:c r="E5" s="3" t="n"/>
      <x:c r="F5" s="3" t="n"/>
      <x:c r="G5" s="3" t="n"/>
      <x:c r="H5" s="3" t="n"/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  <x:c r="AB5" s="3" t="n"/>
      <x:c r="AC5" s="3" t="n"/>
      <x:c r="AD5" s="3" t="n"/>
      <x:c r="AE5" s="3" t="n"/>
      <x:c r="AF5" s="3" t="n"/>
      <x:c r="AG5" s="3" t="n"/>
      <x:c r="AH5" s="3" t="n"/>
      <x:c r="AI5" s="3" t="n"/>
      <x:c r="AJ5" s="3" t="n"/>
      <x:c r="AK5" s="3" t="n"/>
    </x:row>
    <x:row r="6">
      <x:c r="A6" s="8" t="n"/>
      <x:c r="B6" s="8" t="n"/>
      <x:c r="C6" s="8" t="n"/>
      <x:c r="D6" s="8" t="n"/>
      <x:c r="E6" s="8" t="n"/>
      <x:c r="F6" s="8" t="n"/>
      <x:c r="G6" s="8" t="n"/>
      <x:c r="H6" s="8" t="n"/>
      <x:c r="I6" s="8" t="n"/>
      <x:c r="J6" s="8" t="n"/>
      <x:c r="K6" s="8" t="n"/>
      <x:c r="L6" s="8" t="n"/>
      <x:c r="M6" s="8" t="n"/>
      <x:c r="N6" s="8" t="n"/>
      <x:c r="O6" s="8" t="n"/>
      <x:c r="P6" s="8" t="n"/>
      <x:c r="Q6" s="8" t="n"/>
      <x:c r="R6" s="8" t="n"/>
      <x:c r="S6" s="8" t="n"/>
      <x:c r="T6" s="8" t="n"/>
      <x:c r="U6" s="8" t="n"/>
      <x:c r="V6" s="8" t="n"/>
      <x:c r="W6" s="8" t="n"/>
      <x:c r="X6" s="8" t="n"/>
      <x:c r="Y6" s="8" t="n"/>
      <x:c r="Z6" s="8" t="n"/>
      <x:c r="AA6" s="8" t="n"/>
      <x:c r="AB6" s="8" t="n"/>
      <x:c r="AC6" s="8" t="n"/>
      <x:c r="AD6" s="8" t="n"/>
      <x:c r="AE6" s="8" t="n"/>
      <x:c r="AF6" s="8" t="n"/>
      <x:c r="AG6" s="8" t="n"/>
      <x:c r="AH6" s="8" t="n"/>
      <x:c r="AI6" s="8" t="n"/>
      <x:c r="AJ6" s="8" t="n"/>
      <x:c r="AK6" s="8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  <x:c r="AB7" s="3" t="n"/>
      <x:c r="AC7" s="3" t="n"/>
      <x:c r="AD7" s="3" t="n"/>
      <x:c r="AE7" s="3" t="n"/>
      <x:c r="AF7" s="3" t="n"/>
      <x:c r="AG7" s="3" t="n"/>
      <x:c r="AH7" s="3" t="n"/>
      <x:c r="AI7" s="3" t="n"/>
      <x:c r="AJ7" s="3" t="n"/>
      <x:c r="AK7" s="3" t="n"/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  <x:c r="I8" s="8" t="n"/>
      <x:c r="J8" s="8" t="n"/>
      <x:c r="K8" s="8" t="n"/>
      <x:c r="L8" s="8" t="n"/>
      <x:c r="M8" s="8" t="n"/>
      <x:c r="N8" s="8" t="n"/>
      <x:c r="O8" s="8" t="n"/>
      <x:c r="P8" s="8" t="n"/>
      <x:c r="Q8" s="8" t="n"/>
      <x:c r="R8" s="8" t="n"/>
      <x:c r="S8" s="8" t="n"/>
      <x:c r="T8" s="8" t="n"/>
      <x:c r="U8" s="8" t="n"/>
      <x:c r="V8" s="8" t="n"/>
      <x:c r="W8" s="8" t="n"/>
      <x:c r="X8" s="8" t="n"/>
      <x:c r="Y8" s="8" t="n"/>
      <x:c r="Z8" s="8" t="n"/>
      <x:c r="AA8" s="8" t="n"/>
      <x:c r="AB8" s="8" t="n"/>
      <x:c r="AC8" s="8" t="n"/>
      <x:c r="AD8" s="8" t="n"/>
      <x:c r="AE8" s="8" t="n"/>
      <x:c r="AF8" s="8" t="n"/>
      <x:c r="AG8" s="8" t="n"/>
      <x:c r="AH8" s="8" t="n"/>
      <x:c r="AI8" s="8" t="n"/>
      <x:c r="AJ8" s="8" t="n"/>
      <x:c r="AK8" s="8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  <x:c r="AB9" s="3" t="n"/>
      <x:c r="AC9" s="3" t="n"/>
      <x:c r="AD9" s="3" t="n"/>
      <x:c r="AE9" s="3" t="n"/>
      <x:c r="AF9" s="3" t="n"/>
      <x:c r="AG9" s="3" t="n"/>
      <x:c r="AH9" s="3" t="n"/>
      <x:c r="AI9" s="3" t="n"/>
      <x:c r="AJ9" s="3" t="n"/>
      <x:c r="AK9" s="3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  <x:c r="I10" s="8" t="n"/>
      <x:c r="J10" s="8" t="n"/>
      <x:c r="K10" s="8" t="n"/>
      <x:c r="L10" s="8" t="n"/>
      <x:c r="M10" s="8" t="n"/>
      <x:c r="N10" s="8" t="n"/>
      <x:c r="O10" s="8" t="n"/>
      <x:c r="P10" s="8" t="n"/>
      <x:c r="Q10" s="8" t="n"/>
      <x:c r="R10" s="8" t="n"/>
      <x:c r="S10" s="8" t="n"/>
      <x:c r="T10" s="8" t="n"/>
      <x:c r="U10" s="8" t="n"/>
      <x:c r="V10" s="8" t="n"/>
      <x:c r="W10" s="8" t="n"/>
      <x:c r="X10" s="8" t="n"/>
      <x:c r="Y10" s="8" t="n"/>
      <x:c r="Z10" s="8" t="n"/>
      <x:c r="AA10" s="8" t="n"/>
      <x:c r="AB10" s="8" t="n"/>
      <x:c r="AC10" s="8" t="n"/>
      <x:c r="AD10" s="8" t="n"/>
      <x:c r="AE10" s="8" t="n"/>
      <x:c r="AF10" s="8" t="n"/>
      <x:c r="AG10" s="8" t="n"/>
      <x:c r="AH10" s="8" t="n"/>
      <x:c r="AI10" s="8" t="n"/>
      <x:c r="AJ10" s="8" t="n"/>
      <x:c r="AK10" s="8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  <x:c r="AB11" s="3" t="n"/>
      <x:c r="AC11" s="3" t="n"/>
      <x:c r="AD11" s="3" t="n"/>
      <x:c r="AE11" s="3" t="n"/>
      <x:c r="AF11" s="3" t="n"/>
      <x:c r="AG11" s="3" t="n"/>
      <x:c r="AH11" s="3" t="n"/>
      <x:c r="AI11" s="3" t="n"/>
      <x:c r="AJ11" s="3" t="n"/>
      <x:c r="AK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  <x:c r="J12" s="8" t="n"/>
      <x:c r="K12" s="8" t="n"/>
      <x:c r="L12" s="8" t="n"/>
      <x:c r="M12" s="8" t="n"/>
      <x:c r="N12" s="8" t="n"/>
      <x:c r="O12" s="8" t="n"/>
      <x:c r="P12" s="8" t="n"/>
      <x:c r="Q12" s="8" t="n"/>
      <x:c r="R12" s="8" t="n"/>
      <x:c r="S12" s="8" t="n"/>
      <x:c r="T12" s="8" t="n"/>
      <x:c r="U12" s="8" t="n"/>
      <x:c r="V12" s="8" t="n"/>
      <x:c r="W12" s="8" t="n"/>
      <x:c r="X12" s="8" t="n"/>
      <x:c r="Y12" s="8" t="n"/>
      <x:c r="Z12" s="8" t="n"/>
      <x:c r="AA12" s="8" t="n"/>
      <x:c r="AB12" s="8" t="n"/>
      <x:c r="AC12" s="8" t="n"/>
      <x:c r="AD12" s="8" t="n"/>
      <x:c r="AE12" s="8" t="n"/>
      <x:c r="AF12" s="8" t="n"/>
      <x:c r="AG12" s="8" t="n"/>
      <x:c r="AH12" s="8" t="n"/>
      <x:c r="AI12" s="8" t="n"/>
      <x:c r="AJ12" s="8" t="n"/>
      <x:c r="AK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  <x:c r="AB13" s="3" t="n"/>
      <x:c r="AC13" s="3" t="n"/>
      <x:c r="AD13" s="3" t="n"/>
      <x:c r="AE13" s="3" t="n"/>
      <x:c r="AF13" s="3" t="n"/>
      <x:c r="AG13" s="3" t="n"/>
      <x:c r="AH13" s="3" t="n"/>
      <x:c r="AI13" s="3" t="n"/>
      <x:c r="AJ13" s="3" t="n"/>
      <x:c r="AK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  <x:c r="J14" s="8" t="n"/>
      <x:c r="K14" s="8" t="n"/>
      <x:c r="L14" s="8" t="n"/>
      <x:c r="M14" s="8" t="n"/>
      <x:c r="N14" s="8" t="n"/>
      <x:c r="O14" s="8" t="n"/>
      <x:c r="P14" s="8" t="n"/>
      <x:c r="Q14" s="8" t="n"/>
      <x:c r="R14" s="8" t="n"/>
      <x:c r="S14" s="8" t="n"/>
      <x:c r="T14" s="8" t="n"/>
      <x:c r="U14" s="8" t="n"/>
      <x:c r="V14" s="8" t="n"/>
      <x:c r="W14" s="8" t="n"/>
      <x:c r="X14" s="8" t="n"/>
      <x:c r="Y14" s="8" t="n"/>
      <x:c r="Z14" s="8" t="n"/>
      <x:c r="AA14" s="8" t="n"/>
      <x:c r="AB14" s="8" t="n"/>
      <x:c r="AC14" s="8" t="n"/>
      <x:c r="AD14" s="8" t="n"/>
      <x:c r="AE14" s="8" t="n"/>
      <x:c r="AF14" s="8" t="n"/>
      <x:c r="AG14" s="8" t="n"/>
      <x:c r="AH14" s="8" t="n"/>
      <x:c r="AI14" s="8" t="n"/>
      <x:c r="AJ14" s="8" t="n"/>
      <x:c r="AK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  <x:c r="AB15" s="3" t="n"/>
      <x:c r="AC15" s="3" t="n"/>
      <x:c r="AD15" s="3" t="n"/>
      <x:c r="AE15" s="3" t="n"/>
      <x:c r="AF15" s="3" t="n"/>
      <x:c r="AG15" s="3" t="n"/>
      <x:c r="AH15" s="3" t="n"/>
      <x:c r="AI15" s="3" t="n"/>
      <x:c r="AJ15" s="3" t="n"/>
      <x:c r="AK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  <x:c r="K16" s="8" t="n"/>
      <x:c r="L16" s="8" t="n"/>
      <x:c r="M16" s="8" t="n"/>
      <x:c r="N16" s="8" t="n"/>
      <x:c r="O16" s="8" t="n"/>
      <x:c r="P16" s="8" t="n"/>
      <x:c r="Q16" s="8" t="n"/>
      <x:c r="R16" s="8" t="n"/>
      <x:c r="S16" s="8" t="n"/>
      <x:c r="T16" s="8" t="n"/>
      <x:c r="U16" s="8" t="n"/>
      <x:c r="V16" s="8" t="n"/>
      <x:c r="W16" s="8" t="n"/>
      <x:c r="X16" s="8" t="n"/>
      <x:c r="Y16" s="8" t="n"/>
      <x:c r="Z16" s="8" t="n"/>
      <x:c r="AA16" s="8" t="n"/>
      <x:c r="AB16" s="8" t="n"/>
      <x:c r="AC16" s="8" t="n"/>
      <x:c r="AD16" s="8" t="n"/>
      <x:c r="AE16" s="8" t="n"/>
      <x:c r="AF16" s="8" t="n"/>
      <x:c r="AG16" s="8" t="n"/>
      <x:c r="AH16" s="8" t="n"/>
      <x:c r="AI16" s="8" t="n"/>
      <x:c r="AJ16" s="8" t="n"/>
      <x:c r="AK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  <x:c r="AB17" s="3" t="n"/>
      <x:c r="AC17" s="3" t="n"/>
      <x:c r="AD17" s="3" t="n"/>
      <x:c r="AE17" s="3" t="n"/>
      <x:c r="AF17" s="3" t="n"/>
      <x:c r="AG17" s="3" t="n"/>
      <x:c r="AH17" s="3" t="n"/>
      <x:c r="AI17" s="3" t="n"/>
      <x:c r="AJ17" s="3" t="n"/>
      <x:c r="AK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  <x:c r="K18" s="8" t="n"/>
      <x:c r="L18" s="8" t="n"/>
      <x:c r="M18" s="8" t="n"/>
      <x:c r="N18" s="8" t="n"/>
      <x:c r="O18" s="8" t="n"/>
      <x:c r="P18" s="8" t="n"/>
      <x:c r="Q18" s="8" t="n"/>
      <x:c r="R18" s="8" t="n"/>
      <x:c r="S18" s="8" t="n"/>
      <x:c r="T18" s="8" t="n"/>
      <x:c r="U18" s="8" t="n"/>
      <x:c r="V18" s="8" t="n"/>
      <x:c r="W18" s="8" t="n"/>
      <x:c r="X18" s="8" t="n"/>
      <x:c r="Y18" s="8" t="n"/>
      <x:c r="Z18" s="8" t="n"/>
      <x:c r="AA18" s="8" t="n"/>
      <x:c r="AB18" s="8" t="n"/>
      <x:c r="AC18" s="8" t="n"/>
      <x:c r="AD18" s="8" t="n"/>
      <x:c r="AE18" s="8" t="n"/>
      <x:c r="AF18" s="8" t="n"/>
      <x:c r="AG18" s="8" t="n"/>
      <x:c r="AH18" s="8" t="n"/>
      <x:c r="AI18" s="8" t="n"/>
      <x:c r="AJ18" s="8" t="n"/>
      <x:c r="AK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  <x:c r="AB19" s="3" t="n"/>
      <x:c r="AC19" s="3" t="n"/>
      <x:c r="AD19" s="3" t="n"/>
      <x:c r="AE19" s="3" t="n"/>
      <x:c r="AF19" s="3" t="n"/>
      <x:c r="AG19" s="3" t="n"/>
      <x:c r="AH19" s="3" t="n"/>
      <x:c r="AI19" s="3" t="n"/>
      <x:c r="AJ19" s="3" t="n"/>
      <x:c r="AK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  <x:c r="K20" s="8" t="n"/>
      <x:c r="L20" s="8" t="n"/>
      <x:c r="M20" s="8" t="n"/>
      <x:c r="N20" s="8" t="n"/>
      <x:c r="O20" s="8" t="n"/>
      <x:c r="P20" s="8" t="n"/>
      <x:c r="Q20" s="8" t="n"/>
      <x:c r="R20" s="8" t="n"/>
      <x:c r="S20" s="8" t="n"/>
      <x:c r="T20" s="8" t="n"/>
      <x:c r="U20" s="8" t="n"/>
      <x:c r="V20" s="8" t="n"/>
      <x:c r="W20" s="8" t="n"/>
      <x:c r="X20" s="8" t="n"/>
      <x:c r="Y20" s="8" t="n"/>
      <x:c r="Z20" s="8" t="n"/>
      <x:c r="AA20" s="8" t="n"/>
      <x:c r="AB20" s="8" t="n"/>
      <x:c r="AC20" s="8" t="n"/>
      <x:c r="AD20" s="8" t="n"/>
      <x:c r="AE20" s="8" t="n"/>
      <x:c r="AF20" s="8" t="n"/>
      <x:c r="AG20" s="8" t="n"/>
      <x:c r="AH20" s="8" t="n"/>
      <x:c r="AI20" s="8" t="n"/>
      <x:c r="AJ20" s="8" t="n"/>
      <x:c r="AK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  <x:c r="AB21" s="3" t="n"/>
      <x:c r="AC21" s="3" t="n"/>
      <x:c r="AD21" s="3" t="n"/>
      <x:c r="AE21" s="3" t="n"/>
      <x:c r="AF21" s="3" t="n"/>
      <x:c r="AG21" s="3" t="n"/>
      <x:c r="AH21" s="3" t="n"/>
      <x:c r="AI21" s="3" t="n"/>
      <x:c r="AJ21" s="3" t="n"/>
      <x:c r="AK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  <x:c r="K22" s="8" t="n"/>
      <x:c r="L22" s="8" t="n"/>
      <x:c r="M22" s="8" t="n"/>
      <x:c r="N22" s="8" t="n"/>
      <x:c r="O22" s="8" t="n"/>
      <x:c r="P22" s="8" t="n"/>
      <x:c r="Q22" s="8" t="n"/>
      <x:c r="R22" s="8" t="n"/>
      <x:c r="S22" s="8" t="n"/>
      <x:c r="T22" s="8" t="n"/>
      <x:c r="U22" s="8" t="n"/>
      <x:c r="V22" s="8" t="n"/>
      <x:c r="W22" s="8" t="n"/>
      <x:c r="X22" s="8" t="n"/>
      <x:c r="Y22" s="8" t="n"/>
      <x:c r="Z22" s="8" t="n"/>
      <x:c r="AA22" s="8" t="n"/>
      <x:c r="AB22" s="8" t="n"/>
      <x:c r="AC22" s="8" t="n"/>
      <x:c r="AD22" s="8" t="n"/>
      <x:c r="AE22" s="8" t="n"/>
      <x:c r="AF22" s="8" t="n"/>
      <x:c r="AG22" s="8" t="n"/>
      <x:c r="AH22" s="8" t="n"/>
      <x:c r="AI22" s="8" t="n"/>
      <x:c r="AJ22" s="8" t="n"/>
      <x:c r="AK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  <x:c r="AB23" s="3" t="n"/>
      <x:c r="AC23" s="3" t="n"/>
      <x:c r="AD23" s="3" t="n"/>
      <x:c r="AE23" s="3" t="n"/>
      <x:c r="AF23" s="3" t="n"/>
      <x:c r="AG23" s="3" t="n"/>
      <x:c r="AH23" s="3" t="n"/>
      <x:c r="AI23" s="3" t="n"/>
      <x:c r="AJ23" s="3" t="n"/>
      <x:c r="AK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  <x:c r="K24" s="8" t="n"/>
      <x:c r="L24" s="8" t="n"/>
      <x:c r="M24" s="8" t="n"/>
      <x:c r="N24" s="8" t="n"/>
      <x:c r="O24" s="8" t="n"/>
      <x:c r="P24" s="8" t="n"/>
      <x:c r="Q24" s="8" t="n"/>
      <x:c r="R24" s="8" t="n"/>
      <x:c r="S24" s="8" t="n"/>
      <x:c r="T24" s="8" t="n"/>
      <x:c r="U24" s="8" t="n"/>
      <x:c r="V24" s="8" t="n"/>
      <x:c r="W24" s="8" t="n"/>
      <x:c r="X24" s="8" t="n"/>
      <x:c r="Y24" s="8" t="n"/>
      <x:c r="Z24" s="8" t="n"/>
      <x:c r="AA24" s="8" t="n"/>
      <x:c r="AB24" s="8" t="n"/>
      <x:c r="AC24" s="8" t="n"/>
      <x:c r="AD24" s="8" t="n"/>
      <x:c r="AE24" s="8" t="n"/>
      <x:c r="AF24" s="8" t="n"/>
      <x:c r="AG24" s="8" t="n"/>
      <x:c r="AH24" s="8" t="n"/>
      <x:c r="AI24" s="8" t="n"/>
      <x:c r="AJ24" s="8" t="n"/>
      <x:c r="AK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  <x:c r="O25" s="3" t="n"/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  <x:c r="AB25" s="3" t="n"/>
      <x:c r="AC25" s="3" t="n"/>
      <x:c r="AD25" s="3" t="n"/>
      <x:c r="AE25" s="3" t="n"/>
      <x:c r="AF25" s="3" t="n"/>
      <x:c r="AG25" s="3" t="n"/>
      <x:c r="AH25" s="3" t="n"/>
      <x:c r="AI25" s="3" t="n"/>
      <x:c r="AJ25" s="3" t="n"/>
      <x:c r="AK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  <x:c r="K26" s="8" t="n"/>
      <x:c r="L26" s="8" t="n"/>
      <x:c r="M26" s="8" t="n"/>
      <x:c r="N26" s="8" t="n"/>
      <x:c r="O26" s="8" t="n"/>
      <x:c r="P26" s="8" t="n"/>
      <x:c r="Q26" s="8" t="n"/>
      <x:c r="R26" s="8" t="n"/>
      <x:c r="S26" s="8" t="n"/>
      <x:c r="T26" s="8" t="n"/>
      <x:c r="U26" s="8" t="n"/>
      <x:c r="V26" s="8" t="n"/>
      <x:c r="W26" s="8" t="n"/>
      <x:c r="X26" s="8" t="n"/>
      <x:c r="Y26" s="8" t="n"/>
      <x:c r="Z26" s="8" t="n"/>
      <x:c r="AA26" s="8" t="n"/>
      <x:c r="AB26" s="8" t="n"/>
      <x:c r="AC26" s="8" t="n"/>
      <x:c r="AD26" s="8" t="n"/>
      <x:c r="AE26" s="8" t="n"/>
      <x:c r="AF26" s="8" t="n"/>
      <x:c r="AG26" s="8" t="n"/>
      <x:c r="AH26" s="8" t="n"/>
      <x:c r="AI26" s="8" t="n"/>
      <x:c r="AJ26" s="8" t="n"/>
      <x:c r="AK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  <x:c r="O27" s="3" t="n"/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  <x:c r="AB27" s="3" t="n"/>
      <x:c r="AC27" s="3" t="n"/>
      <x:c r="AD27" s="3" t="n"/>
      <x:c r="AE27" s="3" t="n"/>
      <x:c r="AF27" s="3" t="n"/>
      <x:c r="AG27" s="3" t="n"/>
      <x:c r="AH27" s="3" t="n"/>
      <x:c r="AI27" s="3" t="n"/>
      <x:c r="AJ27" s="3" t="n"/>
      <x:c r="AK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  <x:c r="K28" s="8" t="n"/>
      <x:c r="L28" s="8" t="n"/>
      <x:c r="M28" s="8" t="n"/>
      <x:c r="N28" s="8" t="n"/>
      <x:c r="O28" s="8" t="n"/>
      <x:c r="P28" s="8" t="n"/>
      <x:c r="Q28" s="8" t="n"/>
      <x:c r="R28" s="8" t="n"/>
      <x:c r="S28" s="8" t="n"/>
      <x:c r="T28" s="8" t="n"/>
      <x:c r="U28" s="8" t="n"/>
      <x:c r="V28" s="8" t="n"/>
      <x:c r="W28" s="8" t="n"/>
      <x:c r="X28" s="8" t="n"/>
      <x:c r="Y28" s="8" t="n"/>
      <x:c r="Z28" s="8" t="n"/>
      <x:c r="AA28" s="8" t="n"/>
      <x:c r="AB28" s="8" t="n"/>
      <x:c r="AC28" s="8" t="n"/>
      <x:c r="AD28" s="8" t="n"/>
      <x:c r="AE28" s="8" t="n"/>
      <x:c r="AF28" s="8" t="n"/>
      <x:c r="AG28" s="8" t="n"/>
      <x:c r="AH28" s="8" t="n"/>
      <x:c r="AI28" s="8" t="n"/>
      <x:c r="AJ28" s="8" t="n"/>
      <x:c r="AK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  <x:c r="AB29" s="3" t="n"/>
      <x:c r="AC29" s="3" t="n"/>
      <x:c r="AD29" s="3" t="n"/>
      <x:c r="AE29" s="3" t="n"/>
      <x:c r="AF29" s="3" t="n"/>
      <x:c r="AG29" s="3" t="n"/>
      <x:c r="AH29" s="3" t="n"/>
      <x:c r="AI29" s="3" t="n"/>
      <x:c r="AJ29" s="3" t="n"/>
      <x:c r="AK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  <x:c r="K30" s="8" t="n"/>
      <x:c r="L30" s="8" t="n"/>
      <x:c r="M30" s="8" t="n"/>
      <x:c r="N30" s="8" t="n"/>
      <x:c r="O30" s="8" t="n"/>
      <x:c r="P30" s="8" t="n"/>
      <x:c r="Q30" s="8" t="n"/>
      <x:c r="R30" s="8" t="n"/>
      <x:c r="S30" s="8" t="n"/>
      <x:c r="T30" s="8" t="n"/>
      <x:c r="U30" s="8" t="n"/>
      <x:c r="V30" s="8" t="n"/>
      <x:c r="W30" s="8" t="n"/>
      <x:c r="X30" s="8" t="n"/>
      <x:c r="Y30" s="8" t="n"/>
      <x:c r="Z30" s="8" t="n"/>
      <x:c r="AA30" s="8" t="n"/>
      <x:c r="AB30" s="8" t="n"/>
      <x:c r="AC30" s="8" t="n"/>
      <x:c r="AD30" s="8" t="n"/>
      <x:c r="AE30" s="8" t="n"/>
      <x:c r="AF30" s="8" t="n"/>
      <x:c r="AG30" s="8" t="n"/>
      <x:c r="AH30" s="8" t="n"/>
      <x:c r="AI30" s="8" t="n"/>
      <x:c r="AJ30" s="8" t="n"/>
      <x:c r="AK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  <x:c r="O31" s="3" t="n"/>
      <x:c r="P31" s="3" t="n"/>
      <x:c r="Q31" s="3" t="n"/>
      <x:c r="R31" s="3" t="n"/>
      <x:c r="S31" s="3" t="n"/>
      <x:c r="T31" s="3" t="n"/>
      <x:c r="U31" s="3" t="n"/>
      <x:c r="V31" s="3" t="n"/>
      <x:c r="W31" s="3" t="n"/>
      <x:c r="X31" s="3" t="n"/>
      <x:c r="Y31" s="3" t="n"/>
      <x:c r="Z31" s="3" t="n"/>
      <x:c r="AA31" s="3" t="n"/>
      <x:c r="AB31" s="3" t="n"/>
      <x:c r="AC31" s="3" t="n"/>
      <x:c r="AD31" s="3" t="n"/>
      <x:c r="AE31" s="3" t="n"/>
      <x:c r="AF31" s="3" t="n"/>
      <x:c r="AG31" s="3" t="n"/>
      <x:c r="AH31" s="3" t="n"/>
      <x:c r="AI31" s="3" t="n"/>
      <x:c r="AJ31" s="3" t="n"/>
      <x:c r="AK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  <x:c r="K32" s="8" t="n"/>
      <x:c r="L32" s="8" t="n"/>
      <x:c r="M32" s="8" t="n"/>
      <x:c r="N32" s="8" t="n"/>
      <x:c r="O32" s="8" t="n"/>
      <x:c r="P32" s="8" t="n"/>
      <x:c r="Q32" s="8" t="n"/>
      <x:c r="R32" s="8" t="n"/>
      <x:c r="S32" s="8" t="n"/>
      <x:c r="T32" s="8" t="n"/>
      <x:c r="U32" s="8" t="n"/>
      <x:c r="V32" s="8" t="n"/>
      <x:c r="W32" s="8" t="n"/>
      <x:c r="X32" s="8" t="n"/>
      <x:c r="Y32" s="8" t="n"/>
      <x:c r="Z32" s="8" t="n"/>
      <x:c r="AA32" s="8" t="n"/>
      <x:c r="AB32" s="8" t="n"/>
      <x:c r="AC32" s="8" t="n"/>
      <x:c r="AD32" s="8" t="n"/>
      <x:c r="AE32" s="8" t="n"/>
      <x:c r="AF32" s="8" t="n"/>
      <x:c r="AG32" s="8" t="n"/>
      <x:c r="AH32" s="8" t="n"/>
      <x:c r="AI32" s="8" t="n"/>
      <x:c r="AJ32" s="8" t="n"/>
      <x:c r="AK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  <x:c r="O33" s="3" t="n"/>
      <x:c r="P33" s="3" t="n"/>
      <x:c r="Q33" s="3" t="n"/>
      <x:c r="R33" s="3" t="n"/>
      <x:c r="S33" s="3" t="n"/>
      <x:c r="T33" s="3" t="n"/>
      <x:c r="U33" s="3" t="n"/>
      <x:c r="V33" s="3" t="n"/>
      <x:c r="W33" s="3" t="n"/>
      <x:c r="X33" s="3" t="n"/>
      <x:c r="Y33" s="3" t="n"/>
      <x:c r="Z33" s="3" t="n"/>
      <x:c r="AA33" s="3" t="n"/>
      <x:c r="AB33" s="3" t="n"/>
      <x:c r="AC33" s="3" t="n"/>
      <x:c r="AD33" s="3" t="n"/>
      <x:c r="AE33" s="3" t="n"/>
      <x:c r="AF33" s="3" t="n"/>
      <x:c r="AG33" s="3" t="n"/>
      <x:c r="AH33" s="3" t="n"/>
      <x:c r="AI33" s="3" t="n"/>
      <x:c r="AJ33" s="3" t="n"/>
      <x:c r="AK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  <x:c r="K34" s="8" t="n"/>
      <x:c r="L34" s="8" t="n"/>
      <x:c r="M34" s="8" t="n"/>
      <x:c r="N34" s="8" t="n"/>
      <x:c r="O34" s="8" t="n"/>
      <x:c r="P34" s="8" t="n"/>
      <x:c r="Q34" s="8" t="n"/>
      <x:c r="R34" s="8" t="n"/>
      <x:c r="S34" s="8" t="n"/>
      <x:c r="T34" s="8" t="n"/>
      <x:c r="U34" s="8" t="n"/>
      <x:c r="V34" s="8" t="n"/>
      <x:c r="W34" s="8" t="n"/>
      <x:c r="X34" s="8" t="n"/>
      <x:c r="Y34" s="8" t="n"/>
      <x:c r="Z34" s="8" t="n"/>
      <x:c r="AA34" s="8" t="n"/>
      <x:c r="AB34" s="8" t="n"/>
      <x:c r="AC34" s="8" t="n"/>
      <x:c r="AD34" s="8" t="n"/>
      <x:c r="AE34" s="8" t="n"/>
      <x:c r="AF34" s="8" t="n"/>
      <x:c r="AG34" s="8" t="n"/>
      <x:c r="AH34" s="8" t="n"/>
      <x:c r="AI34" s="8" t="n"/>
      <x:c r="AJ34" s="8" t="n"/>
      <x:c r="AK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  <x:c r="O35" s="3" t="n"/>
      <x:c r="P35" s="3" t="n"/>
      <x:c r="Q35" s="3" t="n"/>
      <x:c r="R35" s="3" t="n"/>
      <x:c r="S35" s="3" t="n"/>
      <x:c r="T35" s="3" t="n"/>
      <x:c r="U35" s="3" t="n"/>
      <x:c r="V35" s="3" t="n"/>
      <x:c r="W35" s="3" t="n"/>
      <x:c r="X35" s="3" t="n"/>
      <x:c r="Y35" s="3" t="n"/>
      <x:c r="Z35" s="3" t="n"/>
      <x:c r="AA35" s="3" t="n"/>
      <x:c r="AB35" s="3" t="n"/>
      <x:c r="AC35" s="3" t="n"/>
      <x:c r="AD35" s="3" t="n"/>
      <x:c r="AE35" s="3" t="n"/>
      <x:c r="AF35" s="3" t="n"/>
      <x:c r="AG35" s="3" t="n"/>
      <x:c r="AH35" s="3" t="n"/>
      <x:c r="AI35" s="3" t="n"/>
      <x:c r="AJ35" s="3" t="n"/>
      <x:c r="AK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  <x:c r="K36" s="8" t="n"/>
      <x:c r="L36" s="8" t="n"/>
      <x:c r="M36" s="8" t="n"/>
      <x:c r="N36" s="8" t="n"/>
      <x:c r="O36" s="8" t="n"/>
      <x:c r="P36" s="8" t="n"/>
      <x:c r="Q36" s="8" t="n"/>
      <x:c r="R36" s="8" t="n"/>
      <x:c r="S36" s="8" t="n"/>
      <x:c r="T36" s="8" t="n"/>
      <x:c r="U36" s="8" t="n"/>
      <x:c r="V36" s="8" t="n"/>
      <x:c r="W36" s="8" t="n"/>
      <x:c r="X36" s="8" t="n"/>
      <x:c r="Y36" s="8" t="n"/>
      <x:c r="Z36" s="8" t="n"/>
      <x:c r="AA36" s="8" t="n"/>
      <x:c r="AB36" s="8" t="n"/>
      <x:c r="AC36" s="8" t="n"/>
      <x:c r="AD36" s="8" t="n"/>
      <x:c r="AE36" s="8" t="n"/>
      <x:c r="AF36" s="8" t="n"/>
      <x:c r="AG36" s="8" t="n"/>
      <x:c r="AH36" s="8" t="n"/>
      <x:c r="AI36" s="8" t="n"/>
      <x:c r="AJ36" s="8" t="n"/>
      <x:c r="AK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  <x:c r="O37" s="3" t="n"/>
      <x:c r="P37" s="3" t="n"/>
      <x:c r="Q37" s="3" t="n"/>
      <x:c r="R37" s="3" t="n"/>
      <x:c r="S37" s="3" t="n"/>
      <x:c r="T37" s="3" t="n"/>
      <x:c r="U37" s="3" t="n"/>
      <x:c r="V37" s="3" t="n"/>
      <x:c r="W37" s="3" t="n"/>
      <x:c r="X37" s="3" t="n"/>
      <x:c r="Y37" s="3" t="n"/>
      <x:c r="Z37" s="3" t="n"/>
      <x:c r="AA37" s="3" t="n"/>
      <x:c r="AB37" s="3" t="n"/>
      <x:c r="AC37" s="3" t="n"/>
      <x:c r="AD37" s="3" t="n"/>
      <x:c r="AE37" s="3" t="n"/>
      <x:c r="AF37" s="3" t="n"/>
      <x:c r="AG37" s="3" t="n"/>
      <x:c r="AH37" s="3" t="n"/>
      <x:c r="AI37" s="3" t="n"/>
      <x:c r="AJ37" s="3" t="n"/>
      <x:c r="AK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  <x:c r="K38" s="8" t="n"/>
      <x:c r="L38" s="8" t="n"/>
      <x:c r="M38" s="8" t="n"/>
      <x:c r="N38" s="8" t="n"/>
      <x:c r="O38" s="8" t="n"/>
      <x:c r="P38" s="8" t="n"/>
      <x:c r="Q38" s="8" t="n"/>
      <x:c r="R38" s="8" t="n"/>
      <x:c r="S38" s="8" t="n"/>
      <x:c r="T38" s="8" t="n"/>
      <x:c r="U38" s="8" t="n"/>
      <x:c r="V38" s="8" t="n"/>
      <x:c r="W38" s="8" t="n"/>
      <x:c r="X38" s="8" t="n"/>
      <x:c r="Y38" s="8" t="n"/>
      <x:c r="Z38" s="8" t="n"/>
      <x:c r="AA38" s="8" t="n"/>
      <x:c r="AB38" s="8" t="n"/>
      <x:c r="AC38" s="8" t="n"/>
      <x:c r="AD38" s="8" t="n"/>
      <x:c r="AE38" s="8" t="n"/>
      <x:c r="AF38" s="8" t="n"/>
      <x:c r="AG38" s="8" t="n"/>
      <x:c r="AH38" s="8" t="n"/>
      <x:c r="AI38" s="8" t="n"/>
      <x:c r="AJ38" s="8" t="n"/>
      <x:c r="AK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  <x:c r="O39" s="3" t="n"/>
      <x:c r="P39" s="3" t="n"/>
      <x:c r="Q39" s="3" t="n"/>
      <x:c r="R39" s="3" t="n"/>
      <x:c r="S39" s="3" t="n"/>
      <x:c r="T39" s="3" t="n"/>
      <x:c r="U39" s="3" t="n"/>
      <x:c r="V39" s="3" t="n"/>
      <x:c r="W39" s="3" t="n"/>
      <x:c r="X39" s="3" t="n"/>
      <x:c r="Y39" s="3" t="n"/>
      <x:c r="Z39" s="3" t="n"/>
      <x:c r="AA39" s="3" t="n"/>
      <x:c r="AB39" s="3" t="n"/>
      <x:c r="AC39" s="3" t="n"/>
      <x:c r="AD39" s="3" t="n"/>
      <x:c r="AE39" s="3" t="n"/>
      <x:c r="AF39" s="3" t="n"/>
      <x:c r="AG39" s="3" t="n"/>
      <x:c r="AH39" s="3" t="n"/>
      <x:c r="AI39" s="3" t="n"/>
      <x:c r="AJ39" s="3" t="n"/>
      <x:c r="AK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  <x:c r="K40" s="8" t="n"/>
      <x:c r="L40" s="8" t="n"/>
      <x:c r="M40" s="8" t="n"/>
      <x:c r="N40" s="8" t="n"/>
      <x:c r="O40" s="8" t="n"/>
      <x:c r="P40" s="8" t="n"/>
      <x:c r="Q40" s="8" t="n"/>
      <x:c r="R40" s="8" t="n"/>
      <x:c r="S40" s="8" t="n"/>
      <x:c r="T40" s="8" t="n"/>
      <x:c r="U40" s="8" t="n"/>
      <x:c r="V40" s="8" t="n"/>
      <x:c r="W40" s="8" t="n"/>
      <x:c r="X40" s="8" t="n"/>
      <x:c r="Y40" s="8" t="n"/>
      <x:c r="Z40" s="8" t="n"/>
      <x:c r="AA40" s="8" t="n"/>
      <x:c r="AB40" s="8" t="n"/>
      <x:c r="AC40" s="8" t="n"/>
      <x:c r="AD40" s="8" t="n"/>
      <x:c r="AE40" s="8" t="n"/>
      <x:c r="AF40" s="8" t="n"/>
      <x:c r="AG40" s="8" t="n"/>
      <x:c r="AH40" s="8" t="n"/>
      <x:c r="AI40" s="8" t="n"/>
      <x:c r="AJ40" s="8" t="n"/>
      <x:c r="AK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  <x:c r="O41" s="3" t="n"/>
      <x:c r="P41" s="3" t="n"/>
      <x:c r="Q41" s="3" t="n"/>
      <x:c r="R41" s="3" t="n"/>
      <x:c r="S41" s="3" t="n"/>
      <x:c r="T41" s="3" t="n"/>
      <x:c r="U41" s="3" t="n"/>
      <x:c r="V41" s="3" t="n"/>
      <x:c r="W41" s="3" t="n"/>
      <x:c r="X41" s="3" t="n"/>
      <x:c r="Y41" s="3" t="n"/>
      <x:c r="Z41" s="3" t="n"/>
      <x:c r="AA41" s="3" t="n"/>
      <x:c r="AB41" s="3" t="n"/>
      <x:c r="AC41" s="3" t="n"/>
      <x:c r="AD41" s="3" t="n"/>
      <x:c r="AE41" s="3" t="n"/>
      <x:c r="AF41" s="3" t="n"/>
      <x:c r="AG41" s="3" t="n"/>
      <x:c r="AH41" s="3" t="n"/>
      <x:c r="AI41" s="3" t="n"/>
      <x:c r="AJ41" s="3" t="n"/>
      <x:c r="AK41" s="3" t="n"/>
    </x:row>
  </x:sheetData>
  <x:dataValidations count="13">
    <x:dataValidation type="list" allowBlank="1" showDropDown="0" showInputMessage="0" showErrorMessage="0" sqref="F2:F1000">
      <x:formula1>=List_Data_Slice_ID</x:formula1>
    </x:dataValidation>
    <x:dataValidation type="list" allowBlank="1" showDropDown="0" showInputMessage="0" showErrorMessage="0" sqref="G2:G1000">
      <x:formula1>=List_Grouping_Strategy_ID</x:formula1>
    </x:dataValidation>
    <x:dataValidation type="list" allowBlank="1" showDropDown="0" showInputMessage="0" showErrorMessage="0" sqref="O2:O1000">
      <x:formula1>=List_Transfer_Direction</x:formula1>
    </x:dataValidation>
    <x:dataValidation type="list" allowBlank="1" showDropDown="0" showInputMessage="0" showErrorMessage="0" sqref="P2:P1000">
      <x:formula1>=List_Session_Scope</x:formula1>
    </x:dataValidation>
    <x:dataValidation type="list" allowBlank="1" showDropDown="0" showInputMessage="0" showErrorMessage="0" sqref="Q2:Q1000">
      <x:formula1>=List_Task_Scope</x:formula1>
    </x:dataValidation>
    <x:dataValidation type="list" allowBlank="1" showDropDown="0" showInputMessage="0" showErrorMessage="0" sqref="R2:R1000">
      <x:formula1>=List_Modality_Scope</x:formula1>
    </x:dataValidation>
    <x:dataValidation type="list" allowBlank="1" showDropDown="0" showInputMessage="0" showErrorMessage="0" sqref="U2:U1000">
      <x:formula1>=List_Run_Type</x:formula1>
    </x:dataValidation>
    <x:dataValidation type="list" allowBlank="1" showDropDown="0" showInputMessage="0" showErrorMessage="0" sqref="V2:V1000">
      <x:formula1>=List_Affects_Frozen_Pipeline</x:formula1>
    </x:dataValidation>
    <x:dataValidation type="list" allowBlank="1" showDropDown="0" showInputMessage="0" showErrorMessage="0" sqref="W2:W1000">
      <x:formula1>=List_Eligible_for_Method_Decision</x:formula1>
    </x:dataValidation>
    <x:dataValidation type="list" allowBlank="1" showDropDown="0" showInputMessage="0" showErrorMessage="0" sqref="Z2:Z1000">
      <x:formula1>=List_Imbalance_Status</x:formula1>
    </x:dataValidation>
    <x:dataValidation type="list" allowBlank="1" showDropDown="0" showInputMessage="0" showErrorMessage="0" sqref="AA2:AA1000">
      <x:formula1>=List_Leakage_Check_Status</x:formula1>
    </x:dataValidation>
    <x:dataValidation type="list" allowBlank="1" showDropDown="0" showInputMessage="0" showErrorMessage="0" sqref="AH2:AH1000">
      <x:formula1>=List_Reviewed</x:formula1>
    </x:dataValidation>
    <x:dataValidation type="list" allowBlank="1" showDropDown="0" showInputMessage="0" showErrorMessage="0" sqref="AI2:AI1000">
      <x:formula1>=List_Used_in_Thesis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03472e112c43b7"/>
  </x:tableParts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24" hidden="0" customWidth="1"/>
    <x:col min="3" max="3" width="18" hidden="0" customWidth="1"/>
    <x:col min="4" max="4" width="26" hidden="0" customWidth="1"/>
    <x:col min="5" max="5" width="26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4" hidden="0" customWidth="1"/>
    <x:col min="12" max="12" width="12" hidden="0" customWidth="1"/>
    <x:col min="13" max="13" width="12" hidden="0" customWidth="1"/>
    <x:col min="14" max="14" width="26" hidden="0" customWidth="1"/>
  </x:cols>
  <x:sheetData>
    <x:row r="1" ht="34.1796875" hidden="0" customHeight="1">
      <x:c r="A1" s="26" t="inlineStr">
        <x:is>
          <x:t xml:space="preserve">Decision_ID</x:t>
        </x:is>
      </x:c>
      <x:c r="B1" s="26" t="inlineStr">
        <x:is>
          <x:t xml:space="preserve">Decision_Topic</x:t>
        </x:is>
      </x:c>
      <x:c r="C1" s="26" t="inlineStr">
        <x:is>
          <x:t xml:space="preserve">Stage</x:t>
        </x:is>
      </x:c>
      <x:c r="D1" s="26" t="inlineStr">
        <x:is>
          <x:t xml:space="preserve">Candidate_Options</x:t>
        </x:is>
      </x:c>
      <x:c r="E1" s="26" t="inlineStr">
        <x:is>
          <x:t xml:space="preserve">Evidence_Experiments</x:t>
        </x:is>
      </x:c>
      <x:c r="F1" s="26" t="inlineStr">
        <x:is>
          <x:t xml:space="preserve">Decision_Criteria</x:t>
        </x:is>
      </x:c>
      <x:c r="G1" s="26" t="inlineStr">
        <x:is>
          <x:t xml:space="preserve">Chosen_Option</x:t>
        </x:is>
      </x:c>
      <x:c r="H1" s="26" t="inlineStr">
        <x:is>
          <x:t xml:space="preserve">Why_Chosen</x:t>
        </x:is>
      </x:c>
      <x:c r="I1" s="26" t="inlineStr">
        <x:is>
          <x:t xml:space="preserve">Why_Not_Others</x:t>
        </x:is>
      </x:c>
      <x:c r="J1" s="26" t="inlineStr">
        <x:is>
          <x:t xml:space="preserve">Risks_or_Tradeoffs</x:t>
        </x:is>
      </x:c>
      <x:c r="K1" s="26" t="inlineStr">
        <x:is>
          <x:t xml:space="preserve">Grounding_Section_or_Source_Packet</x:t>
        </x:is>
      </x:c>
      <x:c r="L1" s="26" t="inlineStr">
        <x:is>
          <x:t xml:space="preserve">Date_Locked</x:t>
        </x:is>
      </x:c>
      <x:c r="M1" s="26" t="inlineStr">
        <x:is>
          <x:t xml:space="preserve">Freeze_Status</x:t>
        </x:is>
      </x:c>
      <x:c r="N1" s="26" t="inlineStr">
        <x:is>
          <x:t xml:space="preserve">Thesis_Use</x:t>
        </x:is>
      </x:c>
    </x:row>
    <x:row r="2" ht="51.26953125" hidden="0" customHeight="1">
      <x:c r="A2" s="27" t="inlineStr">
        <x:is>
          <x:t xml:space="preserve">D01</x:t>
        </x:is>
      </x:c>
      <x:c r="B2" s="27" t="inlineStr">
        <x:is>
          <x:t xml:space="preserve">Final target choice</x:t>
        </x:is>
      </x:c>
      <x:c r="C2" s="27" t="inlineStr">
        <x:is>
          <x:t xml:space="preserve">Stage 1 - Target lock</x:t>
        </x:is>
      </x:c>
      <x:c r="D2" s="27" t="inlineStr">
        <x:is>
          <x:t xml:space="preserve">fine emotion; coarse_affect; binary valence-like</x:t>
        </x:is>
      </x:c>
      <x:c r="E2" s="27" t="inlineStr">
        <x:is>
          <x:t xml:space="preserve">E01,E02,E03</x:t>
        </x:is>
      </x:c>
      <x:c r="F2" s="27" t="inlineStr">
        <x:is>
          <x:t xml:space="preserve">Construct validity + class balance + learnability under strict split</x:t>
        </x:is>
      </x:c>
      <x:c r="G2" s="27" t="inlineStr">
        <x:is>
          <x:t xml:space="preserve">To be locked after method-choice evidence review</x:t>
        </x:is>
      </x:c>
      <x:c r="H2" s="27" t="inlineStr">
        <x:is>
          <x:t xml:space="preserve"/>
        </x:is>
      </x:c>
      <x:c r="I2" s="27" t="inlineStr">
        <x:is>
          <x:t xml:space="preserve"/>
        </x:is>
      </x:c>
      <x:c r="J2" s="27" t="inlineStr">
        <x:is>
          <x:t xml:space="preserve">Tradeoff between construct validity and learnability</x:t>
        </x:is>
      </x:c>
      <x:c r="K2" s="27" t="inlineStr">
        <x:is>
          <x:t xml:space="preserve">To be linked after background/method revision</x:t>
        </x:is>
      </x:c>
      <x:c r="L2" s="27" t="inlineStr">
        <x:is>
          <x:t xml:space="preserve"/>
        </x:is>
      </x:c>
      <x:c r="M2" s="27" t="inlineStr">
        <x:is>
          <x:t xml:space="preserve">Open</x:t>
        </x:is>
      </x:c>
      <x:c r="N2" s="27" t="inlineStr">
        <x:is>
          <x:t xml:space="preserve">Chapter 3 method lock feeding Chapter 4 confirmatory analyses</x:t>
        </x:is>
      </x:c>
    </x:row>
    <x:row r="3" ht="68.359375" hidden="0" customHeight="1">
      <x:c r="A3" s="22" t="inlineStr">
        <x:is>
          <x:t xml:space="preserve">D02</x:t>
        </x:is>
      </x:c>
      <x:c r="B3" s="22" t="inlineStr">
        <x:is>
          <x:t xml:space="preserve">Final split design</x:t>
        </x:is>
      </x:c>
      <x:c r="C3" s="22" t="inlineStr">
        <x:is>
          <x:t xml:space="preserve">Stage 2 - Split lock</x:t>
        </x:is>
      </x:c>
      <x:c r="D3" s="22" t="inlineStr">
        <x:is>
          <x:t xml:space="preserve">within_subject_loso_session; weaker alternatives for stress testing</x:t>
        </x:is>
      </x:c>
      <x:c r="E3" s="22" t="inlineStr">
        <x:is>
          <x:t xml:space="preserve">E04,E05</x:t>
        </x:is>
      </x:c>
      <x:c r="F3" s="22" t="inlineStr">
        <x:is>
          <x:t xml:space="preserve">Prefer strictest split matching claim while documenting weak-split inflation</x:t>
        </x:is>
      </x:c>
      <x:c r="G3" s="22" t="inlineStr">
        <x:is>
          <x:t xml:space="preserve">To be locked after split-strength evidence review</x:t>
        </x:is>
      </x:c>
      <x:c r="H3" s="22" t="inlineStr">
        <x:is>
          <x:t xml:space="preserve"/>
        </x:is>
      </x:c>
      <x:c r="I3" s="22" t="inlineStr">
        <x:is>
          <x:t xml:space="preserve"/>
        </x:is>
      </x:c>
      <x:c r="J3" s="22" t="inlineStr">
        <x:is>
          <x:t xml:space="preserve">Weak split inflation risk</x:t>
        </x:is>
      </x:c>
      <x:c r="K3" s="22" t="inlineStr">
        <x:is>
          <x:t xml:space="preserve">To be linked after method section split rationale update</x:t>
        </x:is>
      </x:c>
      <x:c r="L3" s="22" t="inlineStr">
        <x:is>
          <x:t xml:space="preserve"/>
        </x:is>
      </x:c>
      <x:c r="M3" s="22" t="inlineStr">
        <x:is>
          <x:t xml:space="preserve">Open</x:t>
        </x:is>
      </x:c>
      <x:c r="N3" s="22" t="inlineStr">
        <x:is>
          <x:t xml:space="preserve">Defines primary inference logic and leakage controls</x:t>
        </x:is>
      </x:c>
    </x:row>
    <x:row r="4" ht="51.26953125" hidden="0" customHeight="1">
      <x:c r="A4" s="27" t="inlineStr">
        <x:is>
          <x:t xml:space="preserve">D03</x:t>
        </x:is>
      </x:c>
      <x:c r="B4" s="27" t="inlineStr">
        <x:is>
          <x:t xml:space="preserve">Final model family</x:t>
        </x:is>
      </x:c>
      <x:c r="C4" s="27" t="inlineStr">
        <x:is>
          <x:t xml:space="preserve">Stage 3 - Model lock</x:t>
        </x:is>
      </x:c>
      <x:c r="D4" s="27" t="inlineStr">
        <x:is>
          <x:t xml:space="preserve">ridge; logreg; linearsvc</x:t>
        </x:is>
      </x:c>
      <x:c r="E4" s="27" t="inlineStr">
        <x:is>
          <x:t xml:space="preserve">E06</x:t>
        </x:is>
      </x:c>
      <x:c r="F4" s="27" t="inlineStr">
        <x:is>
          <x:t xml:space="preserve">Simplicity + robustness + comparable performance</x:t>
        </x:is>
      </x:c>
      <x:c r="G4" s="27" t="inlineStr">
        <x:is>
          <x:t xml:space="preserve">To be locked after model comparison</x:t>
        </x:is>
      </x:c>
      <x:c r="H4" s="27" t="inlineStr">
        <x:is>
          <x:t xml:space="preserve"/>
        </x:is>
      </x:c>
      <x:c r="I4" s="27" t="inlineStr">
        <x:is>
          <x:t xml:space="preserve"/>
        </x:is>
      </x:c>
      <x:c r="J4" s="27" t="inlineStr">
        <x:is>
          <x:t xml:space="preserve">Complexity vs stability tradeoff</x:t>
        </x:is>
      </x:c>
      <x:c r="K4" s="27" t="inlineStr">
        <x:is>
          <x:t xml:space="preserve">To be linked after model-choice subsection revision</x:t>
        </x:is>
      </x:c>
      <x:c r="L4" s="27" t="inlineStr">
        <x:is>
          <x:t xml:space="preserve"/>
        </x:is>
      </x:c>
      <x:c r="M4" s="27" t="inlineStr">
        <x:is>
          <x:t xml:space="preserve">Open</x:t>
        </x:is>
      </x:c>
      <x:c r="N4" s="27" t="inlineStr">
        <x:is>
          <x:t xml:space="preserve">Sets final confirmatory model family</x:t>
        </x:is>
      </x:c>
    </x:row>
    <x:row r="5" ht="51.26953125" hidden="0" customHeight="1">
      <x:c r="A5" s="22" t="inlineStr">
        <x:is>
          <x:t xml:space="preserve">D04</x:t>
        </x:is>
      </x:c>
      <x:c r="B5" s="22" t="inlineStr">
        <x:is>
          <x:t xml:space="preserve">Final weighting policy</x:t>
        </x:is>
      </x:c>
      <x:c r="C5" s="22" t="inlineStr">
        <x:is>
          <x:t xml:space="preserve">Stage 3 - Model lock</x:t>
        </x:is>
      </x:c>
      <x:c r="D5" s="22" t="inlineStr">
        <x:is>
          <x:t xml:space="preserve">No class weighting; balanced weighting</x:t>
        </x:is>
      </x:c>
      <x:c r="E5" s="22" t="inlineStr">
        <x:is>
          <x:t xml:space="preserve">E07</x:t>
        </x:is>
      </x:c>
      <x:c r="F5" s="22" t="inlineStr">
        <x:is>
          <x:t xml:space="preserve">Minority-class fairness gain without instability</x:t>
        </x:is>
      </x:c>
      <x:c r="G5" s="22" t="inlineStr">
        <x:is>
          <x:t xml:space="preserve">To be locked after weighting sensitivity</x:t>
        </x:is>
      </x:c>
      <x:c r="H5" s="22" t="inlineStr">
        <x:is>
          <x:t xml:space="preserve"/>
        </x:is>
      </x:c>
      <x:c r="I5" s="22" t="inlineStr">
        <x:is>
          <x:t xml:space="preserve"/>
        </x:is>
      </x:c>
      <x:c r="J5" s="22" t="inlineStr">
        <x:is>
          <x:t xml:space="preserve">Fairness-stability tension</x:t>
        </x:is>
      </x:c>
      <x:c r="K5" s="22" t="inlineStr">
        <x:is>
          <x:t xml:space="preserve">To be linked after class-imbalance discussion draft</x:t>
        </x:is>
      </x:c>
      <x:c r="L5" s="22" t="inlineStr">
        <x:is>
          <x:t xml:space="preserve"/>
        </x:is>
      </x:c>
      <x:c r="M5" s="22" t="inlineStr">
        <x:is>
          <x:t xml:space="preserve">Open</x:t>
        </x:is>
      </x:c>
      <x:c r="N5" s="22" t="inlineStr">
        <x:is>
          <x:t xml:space="preserve">Controls fairness assumptions in final pipeline</x:t>
        </x:is>
      </x:c>
    </x:row>
    <x:row r="6" ht="51.26953125" hidden="0" customHeight="1">
      <x:c r="A6" s="27" t="inlineStr">
        <x:is>
          <x:t xml:space="preserve">D05</x:t>
        </x:is>
      </x:c>
      <x:c r="B6" s="27" t="inlineStr">
        <x:is>
          <x:t xml:space="preserve">Final tuning policy</x:t>
        </x:is>
      </x:c>
      <x:c r="C6" s="27" t="inlineStr">
        <x:is>
          <x:t xml:space="preserve">Stage 3 - Model lock</x:t>
        </x:is>
      </x:c>
      <x:c r="D6" s="27" t="inlineStr">
        <x:is>
          <x:t xml:space="preserve">Fixed explicit settings; light nested tuning</x:t>
        </x:is>
      </x:c>
      <x:c r="E6" s="27" t="inlineStr">
        <x:is>
          <x:t xml:space="preserve">E08</x:t>
        </x:is>
      </x:c>
      <x:c r="F6" s="27" t="inlineStr">
        <x:is>
          <x:t xml:space="preserve">Keep fixed unless clear stable gain from tuning</x:t>
        </x:is>
      </x:c>
      <x:c r="G6" s="27" t="inlineStr">
        <x:is>
          <x:t xml:space="preserve">To be locked after tuning strategy review</x:t>
        </x:is>
      </x:c>
      <x:c r="H6" s="27" t="inlineStr">
        <x:is>
          <x:t xml:space="preserve"/>
        </x:is>
      </x:c>
      <x:c r="I6" s="27" t="inlineStr">
        <x:is>
          <x:t xml:space="preserve"/>
        </x:is>
      </x:c>
      <x:c r="J6" s="27" t="inlineStr">
        <x:is>
          <x:t xml:space="preserve">Overfitting and complexity risk with tuning</x:t>
        </x:is>
      </x:c>
      <x:c r="K6" s="27" t="inlineStr">
        <x:is>
          <x:t xml:space="preserve">To be linked after reproducibility subsection update</x:t>
        </x:is>
      </x:c>
      <x:c r="L6" s="27" t="inlineStr">
        <x:is>
          <x:t xml:space="preserve"/>
        </x:is>
      </x:c>
      <x:c r="M6" s="27" t="inlineStr">
        <x:is>
          <x:t xml:space="preserve">Open</x:t>
        </x:is>
      </x:c>
      <x:c r="N6" s="27" t="inlineStr">
        <x:is>
          <x:t xml:space="preserve">Determines model configuration policy</x:t>
        </x:is>
      </x:c>
    </x:row>
    <x:row r="7" ht="51.26953125" hidden="0" customHeight="1">
      <x:c r="A7" s="22" t="inlineStr">
        <x:is>
          <x:t xml:space="preserve">D06</x:t>
        </x:is>
      </x:c>
      <x:c r="B7" s="22" t="inlineStr">
        <x:is>
          <x:t xml:space="preserve">Final feature representation</x:t>
        </x:is>
      </x:c>
      <x:c r="C7" s="22" t="inlineStr">
        <x:is>
          <x:t xml:space="preserve">Stage 4 - Feature/preprocessing lock</x:t>
        </x:is>
      </x:c>
      <x:c r="D7" s="22" t="inlineStr">
        <x:is>
          <x:t xml:space="preserve">Whole-brain masked voxels; theory-justified ROI</x:t>
        </x:is>
      </x:c>
      <x:c r="E7" s="22" t="inlineStr">
        <x:is>
          <x:t xml:space="preserve">E09,E10</x:t>
        </x:is>
      </x:c>
      <x:c r="F7" s="22" t="inlineStr">
        <x:is>
          <x:t xml:space="preserve">Validity + stability + complexity tradeoff</x:t>
        </x:is>
      </x:c>
      <x:c r="G7" s="22" t="inlineStr">
        <x:is>
          <x:t xml:space="preserve">To be locked after feature-space evidence review</x:t>
        </x:is>
      </x:c>
      <x:c r="H7" s="22" t="inlineStr">
        <x:is>
          <x:t xml:space="preserve"/>
        </x:is>
      </x:c>
      <x:c r="I7" s="22" t="inlineStr">
        <x:is>
          <x:t xml:space="preserve"/>
        </x:is>
      </x:c>
      <x:c r="J7" s="22" t="inlineStr">
        <x:is>
          <x:t xml:space="preserve">Representation choice impacts validity and interpretability</x:t>
        </x:is>
      </x:c>
      <x:c r="K7" s="22" t="inlineStr">
        <x:is>
          <x:t xml:space="preserve">To be linked after feature-method section update</x:t>
        </x:is>
      </x:c>
      <x:c r="L7" s="22" t="inlineStr">
        <x:is>
          <x:t xml:space="preserve"/>
        </x:is>
      </x:c>
      <x:c r="M7" s="22" t="inlineStr">
        <x:is>
          <x:t xml:space="preserve">Open</x:t>
        </x:is>
      </x:c>
      <x:c r="N7" s="22" t="inlineStr">
        <x:is>
          <x:t xml:space="preserve">Locks final feature representation</x:t>
        </x:is>
      </x:c>
    </x:row>
    <x:row r="8" ht="51.26953125" hidden="0" customHeight="1">
      <x:c r="A8" s="27" t="inlineStr">
        <x:is>
          <x:t xml:space="preserve">D07</x:t>
        </x:is>
      </x:c>
      <x:c r="B8" s="27" t="inlineStr">
        <x:is>
          <x:t xml:space="preserve">Final scaling policy</x:t>
        </x:is>
      </x:c>
      <x:c r="C8" s="27" t="inlineStr">
        <x:is>
          <x:t xml:space="preserve">Stage 4 - Feature/preprocessing lock</x:t>
        </x:is>
      </x:c>
      <x:c r="D8" s="27" t="inlineStr">
        <x:is>
          <x:t xml:space="preserve">No scaling; standard/robust scaling (train-only)</x:t>
        </x:is>
      </x:c>
      <x:c r="E8" s="27" t="inlineStr">
        <x:is>
          <x:t xml:space="preserve">E11</x:t>
        </x:is>
      </x:c>
      <x:c r="F8" s="27" t="inlineStr">
        <x:is>
          <x:t xml:space="preserve">Train-only scaling with best stability and simplicity</x:t>
        </x:is>
      </x:c>
      <x:c r="G8" s="27" t="inlineStr">
        <x:is>
          <x:t xml:space="preserve">To be locked after scaling sensitivity</x:t>
        </x:is>
      </x:c>
      <x:c r="H8" s="27" t="inlineStr">
        <x:is>
          <x:t xml:space="preserve"/>
        </x:is>
      </x:c>
      <x:c r="I8" s="27" t="inlineStr">
        <x:is>
          <x:t xml:space="preserve"/>
        </x:is>
      </x:c>
      <x:c r="J8" s="27" t="inlineStr">
        <x:is>
          <x:t xml:space="preserve">Scaling can alter class boundaries</x:t>
        </x:is>
      </x:c>
      <x:c r="K8" s="27" t="inlineStr">
        <x:is>
          <x:t xml:space="preserve">To be linked after preprocessing subsection revision</x:t>
        </x:is>
      </x:c>
      <x:c r="L8" s="27" t="inlineStr">
        <x:is>
          <x:t xml:space="preserve"/>
        </x:is>
      </x:c>
      <x:c r="M8" s="27" t="inlineStr">
        <x:is>
          <x:t xml:space="preserve">Open</x:t>
        </x:is>
      </x:c>
      <x:c r="N8" s="27" t="inlineStr">
        <x:is>
          <x:t xml:space="preserve">Locks preprocessing policy</x:t>
        </x:is>
      </x:c>
    </x:row>
    <x:row r="9" ht="51.26953125" hidden="0" customHeight="1">
      <x:c r="A9" s="22" t="inlineStr">
        <x:is>
          <x:t xml:space="preserve">D08</x:t>
        </x:is>
      </x:c>
      <x:c r="B9" s="22" t="inlineStr">
        <x:is>
          <x:t xml:space="preserve">Use of external data</x:t>
        </x:is>
      </x:c>
      <x:c r="C9" s="22" t="inlineStr">
        <x:is>
          <x:t xml:space="preserve">Stage 7 - Exploratory extension</x:t>
        </x:is>
      </x:c>
      <x:c r="D9" s="22" t="inlineStr">
        <x:is>
          <x:t xml:space="preserve">No external data; external replication/portability</x:t>
        </x:is>
      </x:c>
      <x:c r="E9" s="22" t="inlineStr">
        <x:is>
          <x:t xml:space="preserve">E18,E19</x:t>
        </x:is>
      </x:c>
      <x:c r="F9" s="22" t="inlineStr">
        <x:is>
          <x:t xml:space="preserve">External work remains exploratory and non-core</x:t>
        </x:is>
      </x:c>
      <x:c r="G9" s="22" t="inlineStr">
        <x:is>
          <x:t xml:space="preserve">To be decided after confirmatory core completion</x:t>
        </x:is>
      </x:c>
      <x:c r="H9" s="22" t="inlineStr">
        <x:is>
          <x:t xml:space="preserve"/>
        </x:is>
      </x:c>
      <x:c r="I9" s="22" t="inlineStr">
        <x:is>
          <x:t xml:space="preserve"/>
        </x:is>
      </x:c>
      <x:c r="J9" s="22" t="inlineStr">
        <x:is>
          <x:t xml:space="preserve">Comparability and external validity limits</x:t>
        </x:is>
      </x:c>
      <x:c r="K9" s="22" t="inlineStr">
        <x:is>
          <x:t xml:space="preserve">To be linked after discussion/limitations revision</x:t>
        </x:is>
      </x:c>
      <x:c r="L9" s="22" t="inlineStr">
        <x:is>
          <x:t xml:space="preserve"/>
        </x:is>
      </x:c>
      <x:c r="M9" s="22" t="inlineStr">
        <x:is>
          <x:t xml:space="preserve">Open</x:t>
        </x:is>
      </x:c>
      <x:c r="N9" s="22" t="inlineStr">
        <x:is>
          <x:t xml:space="preserve">Controls exploratory external scope and appendix use</x:t>
        </x:is>
      </x:c>
    </x:row>
    <x:row r="10" ht="85.44921875" hidden="0" customHeight="1">
      <x:c r="A10" s="20" t="str">
        <x:v>D09</x:v>
      </x:c>
      <x:c r="B10" s="20" t="str">
        <x:v>Confound-risk interpretation rule</x:v>
      </x:c>
      <x:c r="C10" s="20" t="str">
        <x:v>Stage 6 - Robustness analysis</x:v>
      </x:c>
      <x:c r="D10" s="20" t="str">
        <x:v>No dedicated confound diagnostics; dedicated diagnostics on task/modality/session-proxy structure</x:v>
      </x:c>
      <x:c r="E10" s="20" t="str">
        <x:v>E20</x:v>
      </x:c>
      <x:c r="F10" s="20" t="str">
        <x:v>Keep main claim narrow unless diagnostics show non-target structure is not dominating the narrative</x:v>
      </x:c>
      <x:c r="G10" s="20" t="str">
        <x:v>To be locked after confound-diagnostic review</x:v>
      </x:c>
      <x:c r="H10" s="20"/>
      <x:c r="I10" s="20"/>
      <x:c r="J10" s="20" t="str">
        <x:v>Strong non-target decodability may weaken interpretation</x:v>
      </x:c>
      <x:c r="K10" s="20" t="str">
        <x:v>To be linked after robustness subsection draft</x:v>
      </x:c>
      <x:c r="L10" s="20"/>
      <x:c r="M10" s="20" t="str">
        <x:v>Open</x:v>
      </x:c>
      <x:c r="N10" s="20" t="str">
        <x:v>Sets boundaries for interpreting affect-related signal vs nuisance structure</x:v>
      </x:c>
    </x:row>
    <x:row r="11" ht="68.359375" hidden="0" customHeight="1">
      <x:c r="A11" s="20" t="str">
        <x:v>D10</x:v>
      </x:c>
      <x:c r="B11" s="20" t="str">
        <x:v>Temporal and generalization robustness rule</x:v>
      </x:c>
      <x:c r="C11" s="20" t="str">
        <x:v>Stage 6 - Robustness analysis</x:v>
      </x:c>
      <x:c r="D11" s="20" t="str">
        <x:v>Standard LOSO only; LOSO plus temporal/task/modality holdout checks</x:v>
      </x:c>
      <x:c r="E11" s="20" t="str">
        <x:v>E21,E22,E23</x:v>
      </x:c>
      <x:c r="F11" s="20" t="str">
        <x:v>Use stronger phrasing only if robustness checks remain directionally supportive</x:v>
      </x:c>
      <x:c r="G11" s="20" t="str">
        <x:v>To be locked after robustness package review</x:v>
      </x:c>
      <x:c r="H11" s="20"/>
      <x:c r="I11" s="20"/>
      <x:c r="J11" s="20" t="str">
        <x:v>Temporal drift or held-out-domain failure may narrow claim scope</x:v>
      </x:c>
      <x:c r="K11" s="20" t="str">
        <x:v>To be linked after Chapter 4 robustness and Chapter 5 limitations drafts</x:v>
      </x:c>
      <x:c r="L11" s="20"/>
      <x:c r="M11" s="20" t="str">
        <x:v>Open</x:v>
      </x:c>
      <x:c r="N11" s="20" t="str">
        <x:v>Controls how strongly generalization is described in thesis text</x:v>
      </x:c>
    </x:row>
    <x:row r="12" ht="68.359375" hidden="0" customHeight="1">
      <x:c r="A12" s="20" t="str">
        <x:v>D11</x:v>
      </x:c>
      <x:c r="B12" s="20" t="str">
        <x:v>Reproducibility audit rule</x:v>
      </x:c>
      <x:c r="C12" s="20" t="str">
        <x:v>Stage 6 - Robustness analysis</x:v>
      </x:c>
      <x:c r="D12" s="20" t="str">
        <x:v>Single official run; repeated frozen rerun audit</x:v>
      </x:c>
      <x:c r="E12" s="20" t="str">
        <x:v>E24</x:v>
      </x:c>
      <x:c r="F12" s="20" t="str">
        <x:v>Require frozen rerun agreement before final Chapter 4 package is treated as defense-ready</x:v>
      </x:c>
      <x:c r="G12" s="20" t="str">
        <x:v>To be locked after reproducibility audit</x:v>
      </x:c>
      <x:c r="H12" s="20"/>
      <x:c r="I12" s="20"/>
      <x:c r="J12" s="20" t="str">
        <x:v>Operational mismatch weakens trustworthiness of final package</x:v>
      </x:c>
      <x:c r="K12" s="20" t="str">
        <x:v>To be linked after methods appendix / reflection update</x:v>
      </x:c>
      <x:c r="L12" s="20"/>
      <x:c r="M12" s="20" t="str">
        <x:v>Open</x:v>
      </x:c>
      <x:c r="N12" s="20" t="str">
        <x:v>Controls readiness of the final evidence package</x:v>
      </x:c>
    </x:row>
  </x:sheetData>
  <x:conditionalFormatting sqref="M2:M200">
    <x:cfRule type="expression" dxfId="0" priority="1">
      <x:formula>$M2="Locked"</x:formula>
    </x:cfRule>
    <x:cfRule type="expression" dxfId="1" priority="2">
      <x:formula>$M2="Open"</x:formula>
    </x:cfRule>
  </x:conditionalFormatting>
  <x:dataValidations count="1">
    <x:dataValidation type="list" allowBlank="0" showDropDown="0" showInputMessage="0" showErrorMessage="0" sqref="M2:M500">
      <x:formula1>=List_Freeze_Status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4f7e21ad7f47a9"/>
  </x:tableParts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24" hidden="0" customWidth="1"/>
    <x:col min="3" max="3" width="24" hidden="0" customWidth="1"/>
    <x:col min="4" max="4" width="2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24" hidden="0" customWidth="1"/>
    <x:col min="12" max="12" width="24" hidden="0" customWidth="1"/>
  </x:cols>
  <x:sheetData>
    <x:row r="1" ht="51.26953125" hidden="0" customHeight="1">
      <x:c r="A1" s="26" t="inlineStr">
        <x:is>
          <x:t xml:space="preserve">Experiment_ID</x:t>
        </x:is>
      </x:c>
      <x:c r="B1" s="26" t="inlineStr">
        <x:is>
          <x:t xml:space="preserve">Short_Title</x:t>
        </x:is>
      </x:c>
      <x:c r="C1" s="26" t="inlineStr">
        <x:is>
          <x:t xml:space="preserve">Final_Pipeline_Version</x:t>
        </x:is>
      </x:c>
      <x:c r="D1" s="26" t="inlineStr">
        <x:is>
          <x:t xml:space="preserve">Claim_Supported</x:t>
        </x:is>
      </x:c>
      <x:c r="E1" s="26" t="inlineStr">
        <x:is>
          <x:t xml:space="preserve">Status</x:t>
        </x:is>
      </x:c>
      <x:c r="F1" s="26" t="inlineStr">
        <x:is>
          <x:t xml:space="preserve">Eligible_to_Run</x:t>
        </x:is>
      </x:c>
      <x:c r="G1" s="26" t="inlineStr">
        <x:is>
          <x:t xml:space="preserve">Completed</x:t>
        </x:is>
      </x:c>
      <x:c r="H1" s="26" t="inlineStr">
        <x:is>
          <x:t xml:space="preserve">Required_for_Main_Claim</x:t>
        </x:is>
      </x:c>
      <x:c r="I1" s="26" t="inlineStr">
        <x:is>
          <x:t xml:space="preserve">Ready_for_Chapter_4</x:t>
        </x:is>
      </x:c>
      <x:c r="J1" s="26" t="inlineStr">
        <x:is>
          <x:t xml:space="preserve">Confirmatory_Eligible</x:t>
        </x:is>
      </x:c>
      <x:c r="K1" s="26" t="inlineStr">
        <x:is>
          <x:t xml:space="preserve">Main_Result_Summary</x:t>
        </x:is>
      </x:c>
      <x:c r="L1" s="26" t="inlineStr">
        <x:is>
          <x:t xml:space="preserve">Robustness_Status</x:t>
        </x:is>
      </x:c>
    </x:row>
    <x:row r="2" ht="34.1796875" hidden="0" customHeight="1">
      <x:c r="A2" s="27" t="inlineStr">
        <x:is>
          <x:t xml:space="preserve">E12</x:t>
        </x:is>
      </x:c>
      <x:c r="B2" s="27" t="inlineStr">
        <x:is>
          <x:t xml:space="preserve">Permutation test experiment</x:t>
        </x:is>
      </x:c>
      <x:c r="C2" s="27" t="inlineStr">
        <x:is>
          <x:t xml:space="preserve">To be fixed after freeze lock</x:t>
        </x:is>
      </x:c>
      <x:c r="D2" s="27" t="inlineStr">
        <x:is>
          <x:t xml:space="preserve">Chance-distinguishability support</x:t>
        </x:is>
      </x:c>
      <x:c r="E2" s="27" t="str">
        <x:f>IFERROR(INDEX(Master_Experiments!$AA:$AA,MATCH($A2,Master_Experiments!$A:$A,0)),"Planned")</x:f>
        <x:v>Planned</x:v>
      </x:c>
      <x:c r="F2" s="27" t="str">
        <x:f>IF(AND($J2="YES",IFERROR(INDEX(Master_Experiments!$AF:$AF,MATCH($A2,Master_Experiments!$A:$A,0)),"INCOMPLETE")="READY"),"YES","NO")</x:f>
        <x:v>NO</x:v>
      </x:c>
      <x:c r="G2" s="27" t="str">
        <x:f>IF(IFERROR(INDEX(Master_Experiments!$AA:$AA,MATCH($A2,Master_Experiments!$A:$A,0)),"Planned")="Completed","YES","NO")</x:f>
        <x:v>NO</x:v>
      </x:c>
      <x:c r="H2" s="27" t="inlineStr">
        <x:is>
          <x:t xml:space="preserve">YES</x:t>
        </x:is>
      </x:c>
      <x:c r="I2" s="27" t="inlineStr">
        <x:is>
          <x:t xml:space="preserve">NO</x:t>
        </x:is>
      </x:c>
      <x:c r="J2" s="27" t="str">
        <x: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x:f>
        <x:v>NO</x:v>
      </x:c>
      <x:c r="K2" s="27" t="str">
        <x:f>IFERROR(INDEX(Master_Experiments!$AC:$AC,MATCH($A2,Master_Experiments!$A:$A,0)),"")</x:f>
      </x:c>
      <x:c r="L2" s="27" t="inlineStr">
        <x:is>
          <x:t xml:space="preserve">Planned</x:t>
        </x:is>
      </x:c>
    </x:row>
    <x:row r="3" ht="34.1796875" hidden="0" customHeight="1">
      <x:c r="A3" s="22" t="inlineStr">
        <x:is>
          <x:t xml:space="preserve">E13</x:t>
        </x:is>
      </x:c>
      <x:c r="B3" s="22" t="inlineStr">
        <x:is>
          <x:t xml:space="preserve">Trivial baseline experiment</x:t>
        </x:is>
      </x:c>
      <x:c r="C3" s="22" t="inlineStr">
        <x:is>
          <x:t xml:space="preserve">To be fixed after freeze lock</x:t>
        </x:is>
      </x:c>
      <x:c r="D3" s="22" t="inlineStr">
        <x:is>
          <x:t xml:space="preserve">Non-trivial predictive value support</x:t>
        </x:is>
      </x:c>
      <x:c r="E3" s="22" t="str">
        <x:f>IFERROR(INDEX(Master_Experiments!$AA:$AA,MATCH($A3,Master_Experiments!$A:$A,0)),"Planned")</x:f>
        <x:v>Planned</x:v>
      </x:c>
      <x:c r="F3" s="22" t="str">
        <x:f>IF(AND($J3="YES",IFERROR(INDEX(Master_Experiments!$AF:$AF,MATCH($A3,Master_Experiments!$A:$A,0)),"INCOMPLETE")="READY"),"YES","NO")</x:f>
        <x:v>NO</x:v>
      </x:c>
      <x:c r="G3" s="22" t="str">
        <x:f>IF(IFERROR(INDEX(Master_Experiments!$AA:$AA,MATCH($A3,Master_Experiments!$A:$A,0)),"Planned")="Completed","YES","NO")</x:f>
        <x:v>NO</x:v>
      </x:c>
      <x:c r="H3" s="22" t="inlineStr">
        <x:is>
          <x:t xml:space="preserve">YES</x:t>
        </x:is>
      </x:c>
      <x:c r="I3" s="22" t="inlineStr">
        <x:is>
          <x:t xml:space="preserve">NO</x:t>
        </x:is>
      </x:c>
      <x:c r="J3" s="22" t="str">
        <x: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x:f>
        <x:v>NO</x:v>
      </x:c>
      <x:c r="K3" s="22" t="str">
        <x:f>IFERROR(INDEX(Master_Experiments!$AC:$AC,MATCH($A3,Master_Experiments!$A:$A,0)),"")</x:f>
      </x:c>
      <x:c r="L3" s="22" t="inlineStr">
        <x:is>
          <x:t xml:space="preserve">Planned</x:t>
        </x:is>
      </x:c>
    </x:row>
    <x:row r="4" ht="51.26953125" hidden="0" customHeight="1">
      <x:c r="A4" s="27" t="inlineStr">
        <x:is>
          <x:t xml:space="preserve">E14</x:t>
        </x:is>
      </x:c>
      <x:c r="B4" s="27" t="inlineStr">
        <x:is>
          <x:t xml:space="preserve">Stability of explanation experiment</x:t>
        </x:is>
      </x:c>
      <x:c r="C4" s="27" t="inlineStr">
        <x:is>
          <x:t xml:space="preserve">To be fixed after freeze lock</x:t>
        </x:is>
      </x:c>
      <x:c r="D4" s="27" t="inlineStr">
        <x:is>
          <x:t xml:space="preserve">Model-behavior robustness support</x:t>
        </x:is>
      </x:c>
      <x:c r="E4" s="27" t="str">
        <x:f>IFERROR(INDEX(Master_Experiments!$AA:$AA,MATCH($A4,Master_Experiments!$A:$A,0)),"Planned")</x:f>
        <x:v>Planned</x:v>
      </x:c>
      <x:c r="F4" s="27" t="str">
        <x:f>IF(AND($J4="YES",IFERROR(INDEX(Master_Experiments!$AF:$AF,MATCH($A4,Master_Experiments!$A:$A,0)),"INCOMPLETE")="READY"),"YES","NO")</x:f>
        <x:v>NO</x:v>
      </x:c>
      <x:c r="G4" s="27" t="str">
        <x:f>IF(IFERROR(INDEX(Master_Experiments!$AA:$AA,MATCH($A4,Master_Experiments!$A:$A,0)),"Planned")="Completed","YES","NO")</x:f>
        <x:v>NO</x:v>
      </x:c>
      <x:c r="H4" s="27" t="inlineStr">
        <x:is>
          <x:t xml:space="preserve">YES</x:t>
        </x:is>
      </x:c>
      <x:c r="I4" s="27" t="inlineStr">
        <x:is>
          <x:t xml:space="preserve">NO</x:t>
        </x:is>
      </x:c>
      <x:c r="J4" s="27" t="str">
        <x: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x:f>
        <x:v>NO</x:v>
      </x:c>
      <x:c r="K4" s="27" t="str">
        <x:f>IFERROR(INDEX(Master_Experiments!$AC:$AC,MATCH($A4,Master_Experiments!$A:$A,0)),"")</x:f>
      </x:c>
      <x:c r="L4" s="27" t="inlineStr">
        <x:is>
          <x:t xml:space="preserve">Planned</x:t>
        </x:is>
      </x:c>
    </x:row>
    <x:row r="5" ht="34.1796875" hidden="0" customHeight="1">
      <x:c r="A5" s="22" t="inlineStr">
        <x:is>
          <x:t xml:space="preserve">E16</x:t>
        </x:is>
      </x:c>
      <x:c r="B5" s="22" t="inlineStr">
        <x:is>
          <x:t xml:space="preserve">Final within-person confirmatory analysis</x:t>
        </x:is>
      </x:c>
      <x:c r="C5" s="22" t="inlineStr">
        <x:is>
          <x:t xml:space="preserve">To be fixed after freeze lock</x:t>
        </x:is>
      </x:c>
      <x:c r="D5" s="22" t="inlineStr">
        <x:is>
          <x:t xml:space="preserve">Primary within-person claim</x:t>
        </x:is>
      </x:c>
      <x:c r="E5" s="22" t="str">
        <x:f>IFERROR(INDEX(Master_Experiments!$AA:$AA,MATCH($A5,Master_Experiments!$A:$A,0)),"Planned")</x:f>
        <x:v>Planned</x:v>
      </x:c>
      <x:c r="F5" s="22" t="str">
        <x:f>IF(AND($J5="YES",IFERROR(INDEX(Master_Experiments!$AF:$AF,MATCH($A5,Master_Experiments!$A:$A,0)),"INCOMPLETE")="READY"),"YES","NO")</x:f>
        <x:v>NO</x:v>
      </x:c>
      <x:c r="G5" s="22" t="str">
        <x:f>IF(IFERROR(INDEX(Master_Experiments!$AA:$AA,MATCH($A5,Master_Experiments!$A:$A,0)),"Planned")="Completed","YES","NO")</x:f>
        <x:v>NO</x:v>
      </x:c>
      <x:c r="H5" s="22" t="inlineStr">
        <x:is>
          <x:t xml:space="preserve">YES</x:t>
        </x:is>
      </x:c>
      <x:c r="I5" s="22" t="inlineStr">
        <x:is>
          <x:t xml:space="preserve">NO</x:t>
        </x:is>
      </x:c>
      <x:c r="J5" s="22" t="str">
        <x: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x:f>
        <x:v>NO</x:v>
      </x:c>
      <x:c r="K5" s="22" t="str">
        <x:f>IFERROR(INDEX(Master_Experiments!$AC:$AC,MATCH($A5,Master_Experiments!$A:$A,0)),"")</x:f>
      </x:c>
      <x:c r="L5" s="22" t="inlineStr">
        <x:is>
          <x:t xml:space="preserve">Planned</x:t>
        </x:is>
      </x:c>
    </x:row>
    <x:row r="6" ht="34.1796875" hidden="0" customHeight="1">
      <x:c r="A6" s="27" t="inlineStr">
        <x:is>
          <x:t xml:space="preserve">E17</x:t>
        </x:is>
      </x:c>
      <x:c r="B6" s="27" t="inlineStr">
        <x:is>
          <x:t xml:space="preserve">Final cross-person transfer analysis</x:t>
        </x:is>
      </x:c>
      <x:c r="C6" s="27" t="inlineStr">
        <x:is>
          <x:t xml:space="preserve">To be fixed after freeze lock</x:t>
        </x:is>
      </x:c>
      <x:c r="D6" s="27" t="inlineStr">
        <x:is>
          <x:t xml:space="preserve">Secondary transfer claim</x:t>
        </x:is>
      </x:c>
      <x:c r="E6" s="27" t="str">
        <x:f>IFERROR(INDEX(Master_Experiments!$AA:$AA,MATCH($A6,Master_Experiments!$A:$A,0)),"Planned")</x:f>
        <x:v>Planned</x:v>
      </x:c>
      <x:c r="F6" s="27" t="str">
        <x:f>IF(AND($J6="YES",IFERROR(INDEX(Master_Experiments!$AF:$AF,MATCH($A6,Master_Experiments!$A:$A,0)),"INCOMPLETE")="READY"),"YES","NO")</x:f>
        <x:v>NO</x:v>
      </x:c>
      <x:c r="G6" s="27" t="str">
        <x:f>IF(IFERROR(INDEX(Master_Experiments!$AA:$AA,MATCH($A6,Master_Experiments!$A:$A,0)),"Planned")="Completed","YES","NO")</x:f>
        <x:v>NO</x:v>
      </x:c>
      <x:c r="H6" s="27" t="inlineStr">
        <x:is>
          <x:t xml:space="preserve">YES</x:t>
        </x:is>
      </x:c>
      <x:c r="I6" s="27" t="inlineStr">
        <x:is>
          <x:t xml:space="preserve">NO</x:t>
        </x:is>
      </x:c>
      <x:c r="J6" s="27" t="str">
        <x: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x:f>
        <x:v>NO</x:v>
      </x:c>
      <x:c r="K6" s="27" t="str">
        <x:f>IFERROR(INDEX(Master_Experiments!$AC:$AC,MATCH($A6,Master_Experiments!$A:$A,0)),"")</x:f>
      </x:c>
      <x:c r="L6" s="27" t="inlineStr">
        <x:is>
          <x:t xml:space="preserve">Planned</x:t>
        </x:is>
      </x:c>
    </x:row>
    <x:row r="7" ht="51.26953125" hidden="0" customHeight="1">
      <x:c r="A7" s="20" t="str">
        <x:v>E20</x:v>
      </x:c>
      <x:c r="B7" s="20" t="str">
        <x:v>Confound diagnostics package</x:v>
      </x:c>
      <x:c r="C7" s="20" t="str">
        <x:v>Supporting robustness package v1</x:v>
      </x:c>
      <x:c r="D7" s="20" t="str">
        <x:v>Interpretation-boundary support</x:v>
      </x:c>
      <x:c r="E7" s="20" t="str">
        <x:v>Planned</x:v>
      </x:c>
      <x:c r="F7" s="20" t="str">
        <x:v>YES</x:v>
      </x:c>
      <x:c r="G7" s="20" t="str">
        <x:v>NO</x:v>
      </x:c>
      <x:c r="H7" s="20" t="str">
        <x:v>NO</x:v>
      </x:c>
      <x:c r="I7" s="20" t="str">
        <x:v>NO</x:v>
      </x:c>
      <x:c r="J7" s="20" t="str">
        <x:v>YES</x:v>
      </x:c>
      <x:c r="K7" s="20"/>
      <x:c r="L7" s="20" t="str">
        <x:v>Planned</x:v>
      </x:c>
    </x:row>
    <x:row r="8" ht="51.26953125" hidden="0" customHeight="1">
      <x:c r="A8" s="20" t="str">
        <x:v>E21</x:v>
      </x:c>
      <x:c r="B8" s="20" t="str">
        <x:v>Leave-task-out robustness</x:v>
      </x:c>
      <x:c r="C8" s="20" t="str">
        <x:v>Supporting robustness package v1</x:v>
      </x:c>
      <x:c r="D8" s="20" t="str">
        <x:v>Task-generalization support</x:v>
      </x:c>
      <x:c r="E8" s="20" t="str">
        <x:v>Planned</x:v>
      </x:c>
      <x:c r="F8" s="20" t="str">
        <x:v>YES</x:v>
      </x:c>
      <x:c r="G8" s="20" t="str">
        <x:v>NO</x:v>
      </x:c>
      <x:c r="H8" s="20" t="str">
        <x:v>NO</x:v>
      </x:c>
      <x:c r="I8" s="20" t="str">
        <x:v>NO</x:v>
      </x:c>
      <x:c r="J8" s="20" t="str">
        <x:v>YES</x:v>
      </x:c>
      <x:c r="K8" s="20"/>
      <x:c r="L8" s="20" t="str">
        <x:v>Planned</x:v>
      </x:c>
    </x:row>
    <x:row r="9" ht="51.26953125" hidden="0" customHeight="1">
      <x:c r="A9" s="20" t="str">
        <x:v>E22</x:v>
      </x:c>
      <x:c r="B9" s="20" t="str">
        <x:v>Leave-modality-out robustness</x:v>
      </x:c>
      <x:c r="C9" s="20" t="str">
        <x:v>Supporting robustness package v1</x:v>
      </x:c>
      <x:c r="D9" s="20" t="str">
        <x:v>Modality-generalization support</x:v>
      </x:c>
      <x:c r="E9" s="20" t="str">
        <x:v>Planned</x:v>
      </x:c>
      <x:c r="F9" s="20" t="str">
        <x:v>YES</x:v>
      </x:c>
      <x:c r="G9" s="20" t="str">
        <x:v>NO</x:v>
      </x:c>
      <x:c r="H9" s="20" t="str">
        <x:v>NO</x:v>
      </x:c>
      <x:c r="I9" s="20" t="str">
        <x:v>NO</x:v>
      </x:c>
      <x:c r="J9" s="20" t="str">
        <x:v>YES</x:v>
      </x:c>
      <x:c r="K9" s="20"/>
      <x:c r="L9" s="20" t="str">
        <x:v>Planned</x:v>
      </x:c>
    </x:row>
    <x:row r="10" ht="51.26953125" hidden="0" customHeight="1">
      <x:c r="A10" s="20" t="str">
        <x:v>E23</x:v>
      </x:c>
      <x:c r="B10" s="20" t="str">
        <x:v>Session-influence sensitivity</x:v>
      </x:c>
      <x:c r="C10" s="20" t="str">
        <x:v>Supporting robustness package v1</x:v>
      </x:c>
      <x:c r="D10" s="20" t="str">
        <x:v>Subset/jackknife sensitivity support</x:v>
      </x:c>
      <x:c r="E10" s="20" t="str">
        <x:v>Planned</x:v>
      </x:c>
      <x:c r="F10" s="20" t="str">
        <x:v>YES</x:v>
      </x:c>
      <x:c r="G10" s="20" t="str">
        <x:v>NO</x:v>
      </x:c>
      <x:c r="H10" s="20" t="str">
        <x:v>NO</x:v>
      </x:c>
      <x:c r="I10" s="20" t="str">
        <x:v>NO</x:v>
      </x:c>
      <x:c r="J10" s="20" t="str">
        <x:v>YES</x:v>
      </x:c>
      <x:c r="K10" s="20"/>
      <x:c r="L10" s="20" t="str">
        <x:v>Planned</x:v>
      </x:c>
    </x:row>
    <x:row r="11" ht="51.26953125" hidden="0" customHeight="1">
      <x:c r="A11" s="20" t="str">
        <x:v>E24</x:v>
      </x:c>
      <x:c r="B11" s="20" t="str">
        <x:v>Reproducibility rerun audit</x:v>
      </x:c>
      <x:c r="C11" s="20" t="str">
        <x:v>Supporting robustness package v1</x:v>
      </x:c>
      <x:c r="D11" s="20" t="str">
        <x:v>Operational reproducibility support</x:v>
      </x:c>
      <x:c r="E11" s="20" t="str">
        <x:v>Planned</x:v>
      </x:c>
      <x:c r="F11" s="20" t="str">
        <x:v>YES</x:v>
      </x:c>
      <x:c r="G11" s="20" t="str">
        <x:v>NO</x:v>
      </x:c>
      <x:c r="H11" s="20" t="str">
        <x:v>NO</x:v>
      </x:c>
      <x:c r="I11" s="20" t="str">
        <x:v>NO</x:v>
      </x:c>
      <x:c r="J11" s="20" t="str">
        <x:v>YES</x:v>
      </x:c>
      <x:c r="K11" s="20"/>
      <x:c r="L11" s="20" t="str">
        <x:v>Planned</x:v>
      </x:c>
    </x:row>
  </x:sheetData>
  <x:conditionalFormatting sqref="J2:J200">
    <x:cfRule type="expression" dxfId="0" priority="1">
      <x:formula>$J2="YES"</x:formula>
    </x:cfRule>
  </x:conditionalFormatting>
  <x:conditionalFormatting sqref="F2:F200">
    <x:cfRule type="expression" dxfId="0" priority="2">
      <x:formula>$F2="YES"</x:formula>
    </x:cfRule>
  </x:conditionalFormatting>
  <x:conditionalFormatting sqref="G2:G200">
    <x:cfRule type="expression" dxfId="0" priority="3">
      <x:formula>$G2="YES"</x:formula>
    </x:cfRule>
  </x:conditionalFormatting>
  <x:conditionalFormatting sqref="I2:I200">
    <x:cfRule type="expression" dxfId="0" priority="4">
      <x:formula>$I2="YES"</x:formula>
    </x:cfRule>
  </x:conditionalFormatting>
  <x:dataValidations count="4">
    <x:dataValidation type="list" allowBlank="1" showDropDown="0" showInputMessage="0" showErrorMessage="0" sqref="E2:E500">
      <x:formula1>=List_Status</x:formula1>
    </x:dataValidation>
    <x:dataValidation type="list" allowBlank="1" showDropDown="0" showInputMessage="0" showErrorMessage="0" sqref="H2:H500">
      <x:formula1>=List_Required_for_Main_Claim</x:formula1>
    </x:dataValidation>
    <x:dataValidation type="list" allowBlank="1" showDropDown="0" showInputMessage="0" showErrorMessage="0" sqref="I2:I500">
      <x:formula1>=List_Ready_for_Chapter_4</x:formula1>
    </x:dataValidation>
    <x:dataValidation type="list" allowBlank="1" showDropDown="0" showInputMessage="0" showErrorMessage="0" sqref="L2:L500">
      <x:formula1>=List_Status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48d9dc9fd944c7"/>
  </x:tableParts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8" hidden="0" customWidth="1"/>
    <x:col min="3" max="3" width="18" hidden="0" customWidth="1"/>
    <x:col min="4" max="4" width="26" hidden="0" customWidth="1"/>
    <x:col min="5" max="5" width="18" hidden="0" customWidth="1"/>
    <x:col min="6" max="6" width="18" hidden="0" customWidth="1"/>
    <x:col min="7" max="7" width="26" hidden="0" customWidth="1"/>
    <x:col min="8" max="8" width="32" hidden="0" customWidth="1"/>
  </x:cols>
  <x:sheetData>
    <x:row r="1" ht="68.359375" hidden="0" customHeight="1">
      <x:c r="A1" s="26" t="inlineStr">
        <x:is>
          <x:t xml:space="preserve">Experiment_ID</x:t>
        </x:is>
      </x:c>
      <x:c r="B1" s="26" t="inlineStr">
        <x:is>
          <x:t xml:space="preserve">Chapter</x:t>
        </x:is>
      </x:c>
      <x:c r="C1" s="26" t="inlineStr">
        <x:is>
          <x:t xml:space="preserve">Section</x:t>
        </x:is>
      </x:c>
      <x:c r="D1" s="26" t="inlineStr">
        <x:is>
          <x:t xml:space="preserve">Purpose_in_Thesis</x:t>
        </x:is>
      </x:c>
      <x:c r="E1" s="26" t="inlineStr">
        <x:is>
          <x:t xml:space="preserve">Main_or_Supporting</x:t>
        </x:is>
      </x:c>
      <x:c r="F1" s="26" t="inlineStr">
        <x:is>
          <x:t xml:space="preserve">Method_Choice_or_Method_Application_or_Discussion</x:t>
        </x:is>
      </x:c>
      <x:c r="G1" s="26" t="inlineStr">
        <x:is>
          <x:t xml:space="preserve">What_Claim_or_Decision_It_Supports</x:t>
        </x:is>
      </x:c>
      <x:c r="H1" s="26" t="inlineStr">
        <x:is>
          <x:t xml:space="preserve">Notes_for_Writing</x:t>
        </x:is>
      </x:c>
    </x:row>
    <x:row r="2" ht="34.1796875" hidden="0" customHeight="1">
      <x:c r="A2" s="27" t="inlineStr">
        <x:is>
          <x:t xml:space="preserve">E01</x:t>
        </x:is>
      </x:c>
      <x:c r="B2" s="27" t="inlineStr">
        <x:is>
          <x:t xml:space="preserve">Chapter 3</x:t>
        </x:is>
      </x:c>
      <x:c r="C2" s="27" t="inlineStr">
        <x:is>
          <x:t xml:space="preserve">3.3 Target definition</x:t>
        </x:is>
      </x:c>
      <x:c r="D2" s="27" t="inlineStr">
        <x:is>
          <x:t xml:space="preserve">Target granularity method choice</x:t>
        </x:is>
      </x:c>
      <x:c r="E2" s="27" t="inlineStr">
        <x:is>
          <x:t xml:space="preserve">Supporting</x:t>
        </x:is>
      </x:c>
      <x:c r="F2" s="27" t="inlineStr">
        <x:is>
          <x:t xml:space="preserve">Method choice</x:t>
        </x:is>
      </x:c>
      <x:c r="G2" s="27" t="inlineStr">
        <x:is>
          <x:t xml:space="preserve">Locks target definition</x:t>
        </x:is>
      </x:c>
      <x:c r="H2" s="27" t="inlineStr">
        <x:is>
          <x:t xml:space="preserve">Reference Decision D01</x:t>
        </x:is>
      </x:c>
    </x:row>
    <x:row r="3" ht="34.1796875" hidden="0" customHeight="1">
      <x:c r="A3" s="22" t="inlineStr">
        <x:is>
          <x:t xml:space="preserve">E02</x:t>
        </x:is>
      </x:c>
      <x:c r="B3" s="22" t="inlineStr">
        <x:is>
          <x:t xml:space="preserve">Chapter 3</x:t>
        </x:is>
      </x:c>
      <x:c r="C3" s="22" t="inlineStr">
        <x:is>
          <x:t xml:space="preserve">3.3 Task strategy</x:t>
        </x:is>
      </x:c>
      <x:c r="D3" s="22" t="inlineStr">
        <x:is>
          <x:t xml:space="preserve">Task pooling method choice</x:t>
        </x:is>
      </x:c>
      <x:c r="E3" s="22" t="inlineStr">
        <x:is>
          <x:t xml:space="preserve">Supporting</x:t>
        </x:is>
      </x:c>
      <x:c r="F3" s="22" t="inlineStr">
        <x:is>
          <x:t xml:space="preserve">Method choice</x:t>
        </x:is>
      </x:c>
      <x:c r="G3" s="22" t="inlineStr">
        <x:is>
          <x:t xml:space="preserve">Task pooling policy</x:t>
        </x:is>
      </x:c>
      <x:c r="H3" s="22" t="inlineStr">
        <x:is>
          <x:t xml:space="preserve"/>
        </x:is>
      </x:c>
    </x:row>
    <x:row r="4" ht="34.1796875" hidden="0" customHeight="1">
      <x:c r="A4" s="27" t="inlineStr">
        <x:is>
          <x:t xml:space="preserve">E03</x:t>
        </x:is>
      </x:c>
      <x:c r="B4" s="27" t="inlineStr">
        <x:is>
          <x:t xml:space="preserve">Chapter 3</x:t>
        </x:is>
      </x:c>
      <x:c r="C4" s="27" t="inlineStr">
        <x:is>
          <x:t xml:space="preserve">3.3 Modality strategy</x:t>
        </x:is>
      </x:c>
      <x:c r="D4" s="27" t="inlineStr">
        <x:is>
          <x:t xml:space="preserve">Modality pooling method choice</x:t>
        </x:is>
      </x:c>
      <x:c r="E4" s="27" t="inlineStr">
        <x:is>
          <x:t xml:space="preserve">Supporting</x:t>
        </x:is>
      </x:c>
      <x:c r="F4" s="27" t="inlineStr">
        <x:is>
          <x:t xml:space="preserve">Method choice</x:t>
        </x:is>
      </x:c>
      <x:c r="G4" s="27" t="inlineStr">
        <x:is>
          <x:t xml:space="preserve">Modality pooling policy</x:t>
        </x:is>
      </x:c>
      <x:c r="H4" s="27" t="inlineStr">
        <x:is>
          <x:t xml:space="preserve"/>
        </x:is>
      </x:c>
    </x:row>
    <x:row r="5" ht="34.1796875" hidden="0" customHeight="1">
      <x:c r="A5" s="22" t="inlineStr">
        <x:is>
          <x:t xml:space="preserve">E04</x:t>
        </x:is>
      </x:c>
      <x:c r="B5" s="22" t="inlineStr">
        <x:is>
          <x:t xml:space="preserve">Chapter 3</x:t>
        </x:is>
      </x:c>
      <x:c r="C5" s="22" t="inlineStr">
        <x:is>
          <x:t xml:space="preserve">3.4 Split design</x:t>
        </x:is>
      </x:c>
      <x:c r="D5" s="22" t="inlineStr">
        <x:is>
          <x:t xml:space="preserve">Split-strength stress evidence</x:t>
        </x:is>
      </x:c>
      <x:c r="E5" s="22" t="inlineStr">
        <x:is>
          <x:t xml:space="preserve">Supporting</x:t>
        </x:is>
      </x:c>
      <x:c r="F5" s="22" t="inlineStr">
        <x:is>
          <x:t xml:space="preserve">Method choice</x:t>
        </x:is>
      </x:c>
      <x:c r="G5" s="22" t="inlineStr">
        <x:is>
          <x:t xml:space="preserve">Justifies strict split</x:t>
        </x:is>
      </x:c>
      <x:c r="H5" s="22" t="inlineStr">
        <x:is>
          <x:t xml:space="preserve"/>
        </x:is>
      </x:c>
    </x:row>
    <x:row r="6" ht="34.1796875" hidden="0" customHeight="1">
      <x:c r="A6" s="27" t="inlineStr">
        <x:is>
          <x:t xml:space="preserve">E05</x:t>
        </x:is>
      </x:c>
      <x:c r="B6" s="27" t="inlineStr">
        <x:is>
          <x:t xml:space="preserve">Chapter 3</x:t>
        </x:is>
      </x:c>
      <x:c r="C6" s="27" t="inlineStr">
        <x:is>
          <x:t xml:space="preserve">3.4 Transfer protocol</x:t>
        </x:is>
      </x:c>
      <x:c r="D6" s="27" t="inlineStr">
        <x:is>
          <x:t xml:space="preserve">Cross-person framing</x:t>
        </x:is>
      </x:c>
      <x:c r="E6" s="27" t="inlineStr">
        <x:is>
          <x:t xml:space="preserve">Supporting</x:t>
        </x:is>
      </x:c>
      <x:c r="F6" s="27" t="inlineStr">
        <x:is>
          <x:t xml:space="preserve">Method choice</x:t>
        </x:is>
      </x:c>
      <x:c r="G6" s="27" t="inlineStr">
        <x:is>
          <x:t xml:space="preserve">Directional transfer design</x:t>
        </x:is>
      </x:c>
      <x:c r="H6" s="27" t="inlineStr">
        <x:is>
          <x:t xml:space="preserve"/>
        </x:is>
      </x:c>
    </x:row>
    <x:row r="7" ht="34.1796875" hidden="0" customHeight="1">
      <x:c r="A7" s="22" t="inlineStr">
        <x:is>
          <x:t xml:space="preserve">E06</x:t>
        </x:is>
      </x:c>
      <x:c r="B7" s="22" t="inlineStr">
        <x:is>
          <x:t xml:space="preserve">Chapter 3</x:t>
        </x:is>
      </x:c>
      <x:c r="C7" s="22" t="inlineStr">
        <x:is>
          <x:t xml:space="preserve">3.5 Model family</x:t>
        </x:is>
      </x:c>
      <x:c r="D7" s="22" t="inlineStr">
        <x:is>
          <x:t xml:space="preserve">Model family selection</x:t>
        </x:is>
      </x:c>
      <x:c r="E7" s="22" t="inlineStr">
        <x:is>
          <x:t xml:space="preserve">Supporting</x:t>
        </x:is>
      </x:c>
      <x:c r="F7" s="22" t="inlineStr">
        <x:is>
          <x:t xml:space="preserve">Method choice</x:t>
        </x:is>
      </x:c>
      <x:c r="G7" s="22" t="inlineStr">
        <x:is>
          <x:t xml:space="preserve">Final model family lock</x:t>
        </x:is>
      </x:c>
      <x:c r="H7" s="22" t="inlineStr">
        <x:is>
          <x:t xml:space="preserve"/>
        </x:is>
      </x:c>
    </x:row>
    <x:row r="8" ht="34.1796875" hidden="0" customHeight="1">
      <x:c r="A8" s="27" t="inlineStr">
        <x:is>
          <x:t xml:space="preserve">E07</x:t>
        </x:is>
      </x:c>
      <x:c r="B8" s="27" t="inlineStr">
        <x:is>
          <x:t xml:space="preserve">Chapter 3</x:t>
        </x:is>
      </x:c>
      <x:c r="C8" s="27" t="inlineStr">
        <x:is>
          <x:t xml:space="preserve">3.5 Weighting policy</x:t>
        </x:is>
      </x:c>
      <x:c r="D8" s="27" t="inlineStr">
        <x:is>
          <x:t xml:space="preserve">Class weighting decision</x:t>
        </x:is>
      </x:c>
      <x:c r="E8" s="27" t="inlineStr">
        <x:is>
          <x:t xml:space="preserve">Supporting</x:t>
        </x:is>
      </x:c>
      <x:c r="F8" s="27" t="inlineStr">
        <x:is>
          <x:t xml:space="preserve">Method choice</x:t>
        </x:is>
      </x:c>
      <x:c r="G8" s="27" t="inlineStr">
        <x:is>
          <x:t xml:space="preserve">Weighting policy lock</x:t>
        </x:is>
      </x:c>
      <x:c r="H8" s="27" t="inlineStr">
        <x:is>
          <x:t xml:space="preserve"/>
        </x:is>
      </x:c>
    </x:row>
    <x:row r="9" ht="34.1796875" hidden="0" customHeight="1">
      <x:c r="A9" s="22" t="inlineStr">
        <x:is>
          <x:t xml:space="preserve">E08</x:t>
        </x:is>
      </x:c>
      <x:c r="B9" s="22" t="inlineStr">
        <x:is>
          <x:t xml:space="preserve">Chapter 3</x:t>
        </x:is>
      </x:c>
      <x:c r="C9" s="22" t="inlineStr">
        <x:is>
          <x:t xml:space="preserve">3.5 Tuning policy</x:t>
        </x:is>
      </x:c>
      <x:c r="D9" s="22" t="inlineStr">
        <x:is>
          <x:t xml:space="preserve">Hyperparameter policy</x:t>
        </x:is>
      </x:c>
      <x:c r="E9" s="22" t="inlineStr">
        <x:is>
          <x:t xml:space="preserve">Supporting</x:t>
        </x:is>
      </x:c>
      <x:c r="F9" s="22" t="inlineStr">
        <x:is>
          <x:t xml:space="preserve">Method choice</x:t>
        </x:is>
      </x:c>
      <x:c r="G9" s="22" t="inlineStr">
        <x:is>
          <x:t xml:space="preserve">Fixed vs tuning decision</x:t>
        </x:is>
      </x:c>
      <x:c r="H9" s="22" t="inlineStr">
        <x:is>
          <x:t xml:space="preserve"/>
        </x:is>
      </x:c>
    </x:row>
    <x:row r="10" ht="34.1796875" hidden="0" customHeight="1">
      <x:c r="A10" s="27" t="inlineStr">
        <x:is>
          <x:t xml:space="preserve">E09</x:t>
        </x:is>
      </x:c>
      <x:c r="B10" s="27" t="inlineStr">
        <x:is>
          <x:t xml:space="preserve">Chapter 3</x:t>
        </x:is>
      </x:c>
      <x:c r="C10" s="27" t="inlineStr">
        <x:is>
          <x:t xml:space="preserve">3.2 Feature space</x:t>
        </x:is>
      </x:c>
      <x:c r="D10" s="27" t="inlineStr">
        <x:is>
          <x:t xml:space="preserve">Whole-brain vs ROI decision</x:t>
        </x:is>
      </x:c>
      <x:c r="E10" s="27" t="inlineStr">
        <x:is>
          <x:t xml:space="preserve">Supporting</x:t>
        </x:is>
      </x:c>
      <x:c r="F10" s="27" t="inlineStr">
        <x:is>
          <x:t xml:space="preserve">Method choice</x:t>
        </x:is>
      </x:c>
      <x:c r="G10" s="27" t="inlineStr">
        <x:is>
          <x:t xml:space="preserve">Feature representation lock</x:t>
        </x:is>
      </x:c>
      <x:c r="H10" s="27" t="inlineStr">
        <x:is>
          <x:t xml:space="preserve"/>
        </x:is>
      </x:c>
    </x:row>
    <x:row r="11" ht="34.1796875" hidden="0" customHeight="1">
      <x:c r="A11" s="22" t="inlineStr">
        <x:is>
          <x:t xml:space="preserve">E10</x:t>
        </x:is>
      </x:c>
      <x:c r="B11" s="22" t="inlineStr">
        <x:is>
          <x:t xml:space="preserve">Chapter 3</x:t>
        </x:is>
      </x:c>
      <x:c r="C11" s="22" t="inlineStr">
        <x:is>
          <x:t xml:space="preserve">3.2 Dimensionality</x:t>
        </x:is>
      </x:c>
      <x:c r="D11" s="22" t="inlineStr">
        <x:is>
          <x:t xml:space="preserve">Reduction strategy decision</x:t>
        </x:is>
      </x:c>
      <x:c r="E11" s="22" t="inlineStr">
        <x:is>
          <x:t xml:space="preserve">Supporting</x:t>
        </x:is>
      </x:c>
      <x:c r="F11" s="22" t="inlineStr">
        <x:is>
          <x:t xml:space="preserve">Method choice</x:t>
        </x:is>
      </x:c>
      <x:c r="G11" s="22" t="inlineStr">
        <x:is>
          <x:t xml:space="preserve">Complexity/stability tradeoff</x:t>
        </x:is>
      </x:c>
      <x:c r="H11" s="22" t="inlineStr">
        <x:is>
          <x:t xml:space="preserve"/>
        </x:is>
      </x:c>
    </x:row>
    <x:row r="12" ht="34.1796875" hidden="0" customHeight="1">
      <x:c r="A12" s="27" t="inlineStr">
        <x:is>
          <x:t xml:space="preserve">E11</x:t>
        </x:is>
      </x:c>
      <x:c r="B12" s="27" t="inlineStr">
        <x:is>
          <x:t xml:space="preserve">Chapter 3</x:t>
        </x:is>
      </x:c>
      <x:c r="C12" s="27" t="inlineStr">
        <x:is>
          <x:t xml:space="preserve">3.2 Scaling</x:t>
        </x:is>
      </x:c>
      <x:c r="D12" s="27" t="inlineStr">
        <x:is>
          <x:t xml:space="preserve">Scaling sensitivity decision</x:t>
        </x:is>
      </x:c>
      <x:c r="E12" s="27" t="inlineStr">
        <x:is>
          <x:t xml:space="preserve">Supporting</x:t>
        </x:is>
      </x:c>
      <x:c r="F12" s="27" t="inlineStr">
        <x:is>
          <x:t xml:space="preserve">Method choice</x:t>
        </x:is>
      </x:c>
      <x:c r="G12" s="27" t="inlineStr">
        <x:is>
          <x:t xml:space="preserve">Scaling policy lock</x:t>
        </x:is>
      </x:c>
      <x:c r="H12" s="27" t="inlineStr">
        <x:is>
          <x:t xml:space="preserve"/>
        </x:is>
      </x:c>
    </x:row>
    <x:row r="13" ht="34.1796875" hidden="0" customHeight="1">
      <x:c r="A13" s="22" t="inlineStr">
        <x:is>
          <x:t xml:space="preserve">E12</x:t>
        </x:is>
      </x:c>
      <x:c r="B13" s="22" t="inlineStr">
        <x:is>
          <x:t xml:space="preserve">Chapter 4</x:t>
        </x:is>
      </x:c>
      <x:c r="C13" s="22" t="inlineStr">
        <x:is>
          <x:t xml:space="preserve">4.3 Robustness</x:t>
        </x:is>
      </x:c>
      <x:c r="D13" s="22" t="inlineStr">
        <x:is>
          <x:t xml:space="preserve">Permutation support</x:t>
        </x:is>
      </x:c>
      <x:c r="E13" s="22" t="inlineStr">
        <x:is>
          <x:t xml:space="preserve">Supporting</x:t>
        </x:is>
      </x:c>
      <x:c r="F13" s="22" t="inlineStr">
        <x:is>
          <x:t xml:space="preserve">Method application</x:t>
        </x:is>
      </x:c>
      <x:c r="G13" s="22" t="inlineStr">
        <x:is>
          <x:t xml:space="preserve">Beyond-chance support</x:t>
        </x:is>
      </x:c>
      <x:c r="H13" s="22" t="inlineStr">
        <x:is>
          <x:t xml:space="preserve"/>
        </x:is>
      </x:c>
    </x:row>
    <x:row r="14" ht="34.1796875" hidden="0" customHeight="1">
      <x:c r="A14" s="27" t="inlineStr">
        <x:is>
          <x:t xml:space="preserve">E13</x:t>
        </x:is>
      </x:c>
      <x:c r="B14" s="27" t="inlineStr">
        <x:is>
          <x:t xml:space="preserve">Chapter 4</x:t>
        </x:is>
      </x:c>
      <x:c r="C14" s="27" t="inlineStr">
        <x:is>
          <x:t xml:space="preserve">4.3 Robustness</x:t>
        </x:is>
      </x:c>
      <x:c r="D14" s="27" t="inlineStr">
        <x:is>
          <x:t xml:space="preserve">Trivial baseline support</x:t>
        </x:is>
      </x:c>
      <x:c r="E14" s="27" t="inlineStr">
        <x:is>
          <x:t xml:space="preserve">Supporting</x:t>
        </x:is>
      </x:c>
      <x:c r="F14" s="27" t="inlineStr">
        <x:is>
          <x:t xml:space="preserve">Method application</x:t>
        </x:is>
      </x:c>
      <x:c r="G14" s="27" t="inlineStr">
        <x:is>
          <x:t xml:space="preserve">Non-trivial value support</x:t>
        </x:is>
      </x:c>
      <x:c r="H14" s="27" t="inlineStr">
        <x:is>
          <x:t xml:space="preserve"/>
        </x:is>
      </x:c>
    </x:row>
    <x:row r="15" ht="34.1796875" hidden="0" customHeight="1">
      <x:c r="A15" s="22" t="inlineStr">
        <x:is>
          <x:t xml:space="preserve">E14</x:t>
        </x:is>
      </x:c>
      <x:c r="B15" s="22" t="inlineStr">
        <x:is>
          <x:t xml:space="preserve">Chapter 4</x:t>
        </x:is>
      </x:c>
      <x:c r="C15" s="22" t="inlineStr">
        <x:is>
          <x:t xml:space="preserve">4.3 Robustness</x:t>
        </x:is>
      </x:c>
      <x:c r="D15" s="22" t="inlineStr">
        <x:is>
          <x:t xml:space="preserve">Interpretability stability support</x:t>
        </x:is>
      </x:c>
      <x:c r="E15" s="22" t="inlineStr">
        <x:is>
          <x:t xml:space="preserve">Supporting</x:t>
        </x:is>
      </x:c>
      <x:c r="F15" s="22" t="inlineStr">
        <x:is>
          <x:t xml:space="preserve">Method application</x:t>
        </x:is>
      </x:c>
      <x:c r="G15" s="22" t="inlineStr">
        <x:is>
          <x:t xml:space="preserve">Model-behavior robustness</x:t>
        </x:is>
      </x:c>
      <x:c r="H15" s="22" t="inlineStr">
        <x:is>
          <x:t xml:space="preserve">No localization claim</x:t>
        </x:is>
      </x:c>
    </x:row>
    <x:row r="16" ht="34.1796875" hidden="0" customHeight="1">
      <x:c r="A16" s="27" t="inlineStr">
        <x:is>
          <x:t xml:space="preserve">E15</x:t>
        </x:is>
      </x:c>
      <x:c r="B16" s="27" t="inlineStr">
        <x:is>
          <x:t xml:space="preserve">Chapter 5</x:t>
        </x:is>
      </x:c>
      <x:c r="C16" s="27" t="inlineStr">
        <x:is>
          <x:t xml:space="preserve">5.2 Limitations</x:t>
        </x:is>
      </x:c>
      <x:c r="D16" s="27" t="inlineStr">
        <x:is>
          <x:t xml:space="preserve">Subset sensitivity discussion</x:t>
        </x:is>
      </x:c>
      <x:c r="E16" s="27" t="inlineStr">
        <x:is>
          <x:t xml:space="preserve">Supporting</x:t>
        </x:is>
      </x:c>
      <x:c r="F16" s="27" t="inlineStr">
        <x:is>
          <x:t xml:space="preserve">Discussion</x:t>
        </x:is>
      </x:c>
      <x:c r="G16" s="27" t="inlineStr">
        <x:is>
          <x:t xml:space="preserve">Sensitivity/limitations support</x:t>
        </x:is>
      </x:c>
      <x:c r="H16" s="27" t="inlineStr">
        <x:is>
          <x:t xml:space="preserve"/>
        </x:is>
      </x:c>
    </x:row>
    <x:row r="17" ht="34.1796875" hidden="0" customHeight="1">
      <x:c r="A17" s="22" t="inlineStr">
        <x:is>
          <x:t xml:space="preserve">E16</x:t>
        </x:is>
      </x:c>
      <x:c r="B17" s="22" t="inlineStr">
        <x:is>
          <x:t xml:space="preserve">Chapter 4</x:t>
        </x:is>
      </x:c>
      <x:c r="C17" s="22" t="inlineStr">
        <x:is>
          <x:t xml:space="preserve">4.1 Main results</x:t>
        </x:is>
      </x:c>
      <x:c r="D17" s="22" t="inlineStr">
        <x:is>
          <x:t xml:space="preserve">Within-person confirmatory evidence</x:t>
        </x:is>
      </x:c>
      <x:c r="E17" s="22" t="inlineStr">
        <x:is>
          <x:t xml:space="preserve">Main</x:t>
        </x:is>
      </x:c>
      <x:c r="F17" s="22" t="inlineStr">
        <x:is>
          <x:t xml:space="preserve">Method application</x:t>
        </x:is>
      </x:c>
      <x:c r="G17" s="22" t="inlineStr">
        <x:is>
          <x:t xml:space="preserve">Primary thesis claim</x:t>
        </x:is>
      </x:c>
      <x:c r="H17" s="22" t="inlineStr">
        <x:is>
          <x:t xml:space="preserve"/>
        </x:is>
      </x:c>
    </x:row>
    <x:row r="18" ht="34.1796875" hidden="0" customHeight="1">
      <x:c r="A18" s="27" t="inlineStr">
        <x:is>
          <x:t xml:space="preserve">E17</x:t>
        </x:is>
      </x:c>
      <x:c r="B18" s="27" t="inlineStr">
        <x:is>
          <x:t xml:space="preserve">Chapter 4</x:t>
        </x:is>
      </x:c>
      <x:c r="C18" s="27" t="inlineStr">
        <x:is>
          <x:t xml:space="preserve">4.2 Transfer results</x:t>
        </x:is>
      </x:c>
      <x:c r="D18" s="27" t="inlineStr">
        <x:is>
          <x:t xml:space="preserve">Cross-person transfer evidence</x:t>
        </x:is>
      </x:c>
      <x:c r="E18" s="27" t="inlineStr">
        <x:is>
          <x:t xml:space="preserve">Main</x:t>
        </x:is>
      </x:c>
      <x:c r="F18" s="27" t="inlineStr">
        <x:is>
          <x:t xml:space="preserve">Method application</x:t>
        </x:is>
      </x:c>
      <x:c r="G18" s="27" t="inlineStr">
        <x:is>
          <x:t xml:space="preserve">Secondary transfer claim</x:t>
        </x:is>
      </x:c>
      <x:c r="H18" s="27" t="inlineStr">
        <x:is>
          <x:t xml:space="preserve"/>
        </x:is>
      </x:c>
    </x:row>
    <x:row r="19" ht="34.1796875" hidden="0" customHeight="1">
      <x:c r="A19" s="22" t="inlineStr">
        <x:is>
          <x:t xml:space="preserve">E18</x:t>
        </x:is>
      </x:c>
      <x:c r="B19" s="22" t="inlineStr">
        <x:is>
          <x:t xml:space="preserve">Appendix</x:t>
        </x:is>
      </x:c>
      <x:c r="C19" s="22" t="inlineStr">
        <x:is>
          <x:t xml:space="preserve">A. External exploratory</x:t>
        </x:is>
      </x:c>
      <x:c r="D19" s="22" t="inlineStr">
        <x:is>
          <x:t xml:space="preserve">External split replication</x:t>
        </x:is>
      </x:c>
      <x:c r="E19" s="22" t="inlineStr">
        <x:is>
          <x:t xml:space="preserve">Supporting</x:t>
        </x:is>
      </x:c>
      <x:c r="F19" s="22" t="inlineStr">
        <x:is>
          <x:t xml:space="preserve">Discussion</x:t>
        </x:is>
      </x:c>
      <x:c r="G19" s="22" t="inlineStr">
        <x:is>
          <x:t xml:space="preserve">Exploratory external consistency</x:t>
        </x:is>
      </x:c>
      <x:c r="H19" s="22" t="inlineStr">
        <x:is>
          <x:t xml:space="preserve"/>
        </x:is>
      </x:c>
    </x:row>
    <x:row r="20" ht="34.1796875" hidden="0" customHeight="1">
      <x:c r="A20" s="27" t="inlineStr">
        <x:is>
          <x:t xml:space="preserve">E19</x:t>
        </x:is>
      </x:c>
      <x:c r="B20" s="27" t="inlineStr">
        <x:is>
          <x:t xml:space="preserve">Appendix</x:t>
        </x:is>
      </x:c>
      <x:c r="C20" s="27" t="inlineStr">
        <x:is>
          <x:t xml:space="preserve">A. External exploratory</x:t>
        </x:is>
      </x:c>
      <x:c r="D20" s="27" t="inlineStr">
        <x:is>
          <x:t xml:space="preserve">External model portability</x:t>
        </x:is>
      </x:c>
      <x:c r="E20" s="27" t="inlineStr">
        <x:is>
          <x:t xml:space="preserve">Supporting</x:t>
        </x:is>
      </x:c>
      <x:c r="F20" s="27" t="inlineStr">
        <x:is>
          <x:t xml:space="preserve">Discussion</x:t>
        </x:is>
      </x:c>
      <x:c r="G20" s="27" t="inlineStr">
        <x:is>
          <x:t xml:space="preserve">Exploratory portability</x:t>
        </x:is>
      </x:c>
      <x:c r="H20" s="27" t="inlineStr">
        <x:is>
          <x:t xml:space="preserve"/>
        </x:is>
      </x:c>
    </x:row>
    <x:row r="21" ht="68.359375" hidden="0" customHeight="1">
      <x:c r="A21" s="20" t="str">
        <x:v>E20</x:v>
      </x:c>
      <x:c r="B21" s="20" t="str">
        <x:v>Chapter 4</x:v>
      </x:c>
      <x:c r="C21" s="20" t="str">
        <x:v>4.3 Robustness</x:v>
      </x:c>
      <x:c r="D21" s="20" t="str">
        <x:v>Confound diagnostics for non-target structure</x:v>
      </x:c>
      <x:c r="E21" s="20" t="str">
        <x:v>Supporting</x:v>
      </x:c>
      <x:c r="F21" s="20" t="str">
        <x:v>Method application</x:v>
      </x:c>
      <x:c r="G21" s="20" t="str">
        <x:v>Interpretation-boundary support</x:v>
      </x:c>
      <x:c r="H21" s="20" t="str">
        <x:v>Use to discuss whether task/modality/session structure may compete with the target interpretation.</x:v>
      </x:c>
    </x:row>
    <x:row r="22" ht="51.26953125" hidden="0" customHeight="1">
      <x:c r="A22" s="20" t="str">
        <x:v>E21</x:v>
      </x:c>
      <x:c r="B22" s="20" t="str">
        <x:v>Chapter 4</x:v>
      </x:c>
      <x:c r="C22" s="20" t="str">
        <x:v>4.3 Robustness</x:v>
      </x:c>
      <x:c r="D22" s="20" t="str">
        <x:v>Leave-task-out generalization</x:v>
      </x:c>
      <x:c r="E22" s="20" t="str">
        <x:v>Supporting</x:v>
      </x:c>
      <x:c r="F22" s="20" t="str">
        <x:v>Method application</x:v>
      </x:c>
      <x:c r="G22" s="20" t="str">
        <x:v>Task-generalization robustness</x:v>
      </x:c>
      <x:c r="H22" s="20" t="str">
        <x:v>Report only as supporting robustness, not as the primary split.</x:v>
      </x:c>
    </x:row>
    <x:row r="23" ht="51.26953125" hidden="0" customHeight="1">
      <x:c r="A23" s="20" t="str">
        <x:v>E22</x:v>
      </x:c>
      <x:c r="B23" s="20" t="str">
        <x:v>Chapter 4</x:v>
      </x:c>
      <x:c r="C23" s="20" t="str">
        <x:v>4.3 Robustness</x:v>
      </x:c>
      <x:c r="D23" s="20" t="str">
        <x:v>Leave-modality-out generalization</x:v>
      </x:c>
      <x:c r="E23" s="20" t="str">
        <x:v>Supporting</x:v>
      </x:c>
      <x:c r="F23" s="20" t="str">
        <x:v>Method application</x:v>
      </x:c>
      <x:c r="G23" s="20" t="str">
        <x:v>Modality-generalization robustness</x:v>
      </x:c>
      <x:c r="H23" s="20" t="str">
        <x:v>Report only as supporting robustness, not as the primary split.</x:v>
      </x:c>
    </x:row>
    <x:row r="24" ht="51.26953125" hidden="0" customHeight="1">
      <x:c r="A24" s="20" t="str">
        <x:v>E23</x:v>
      </x:c>
      <x:c r="B24" s="20" t="str">
        <x:v>Chapter 4</x:v>
      </x:c>
      <x:c r="C24" s="20" t="str">
        <x:v>4.3 Robustness</x:v>
      </x:c>
      <x:c r="D24" s="20" t="str">
        <x:v>Session-influence / subset sensitivity</x:v>
      </x:c>
      <x:c r="E24" s="20" t="str">
        <x:v>Supporting</x:v>
      </x:c>
      <x:c r="F24" s="20" t="str">
        <x:v>Method application</x:v>
      </x:c>
      <x:c r="G24" s="20" t="str">
        <x:v>Sensitivity/limitations support</x:v>
      </x:c>
      <x:c r="H24" s="20" t="str">
        <x:v>Use to identify over-reliance on specific sessions or subsets.</x:v>
      </x:c>
    </x:row>
    <x:row r="25" ht="51.26953125" hidden="0" customHeight="1">
      <x:c r="A25" s="20" t="str">
        <x:v>E24</x:v>
      </x:c>
      <x:c r="B25" s="20" t="str">
        <x:v>Appendix</x:v>
      </x:c>
      <x:c r="C25" s="20" t="str">
        <x:v>A. Reproducibility audit</x:v>
      </x:c>
      <x:c r="D25" s="20" t="str">
        <x:v>Frozen rerun reproducibility</x:v>
      </x:c>
      <x:c r="E25" s="20" t="str">
        <x:v>Supporting</x:v>
      </x:c>
      <x:c r="F25" s="20" t="str">
        <x:v>Method application</x:v>
      </x:c>
      <x:c r="G25" s="20" t="str">
        <x:v>Operational reproducibility support</x:v>
      </x:c>
      <x:c r="H25" s="20" t="str">
        <x:v>Useful for supervisor review, appendix, and reflection document.</x:v>
      </x:c>
    </x:row>
  </x:sheetData>
  <x:pageMargins left="0.7" right="0.7" top="0.75" bottom="0.75" header="0.3" footer="0.3"/>
  <x:tableParts count="1">
    <x:tablePart xmlns:r="http://schemas.openxmlformats.org/officeDocument/2006/relationships" r:id="R617a811700784d4f"/>
  </x:tableParts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2" customWidth="1"/>
    <x:col min="3" max="3" width="22" customWidth="1"/>
    <x:col min="4" max="4" width="22" customWidth="1"/>
    <x:col min="5" max="5" width="22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22" customWidth="1"/>
    <x:col min="13" max="13" width="22" customWidth="1"/>
    <x:col min="14" max="14" width="22" customWidth="1"/>
    <x:col min="15" max="15" width="22" customWidth="1"/>
    <x:col min="16" max="16" width="22" customWidth="1"/>
    <x:col min="17" max="17" width="22" customWidth="1"/>
    <x:col min="18" max="18" width="22" customWidth="1"/>
    <x:col min="19" max="19" width="22" customWidth="1"/>
    <x:col min="20" max="20" width="22" customWidth="1"/>
    <x:col min="21" max="21" width="22" customWidth="1"/>
    <x:col min="22" max="22" width="22" customWidth="1"/>
    <x:col min="23" max="23" width="22" customWidth="1"/>
    <x:col min="24" max="24" width="22" customWidth="1"/>
    <x:col min="25" max="25" width="22" customWidth="1"/>
    <x:col min="26" max="26" width="22" customWidth="1"/>
    <x:col min="27" max="27" width="22" customWidth="1"/>
    <x:col min="28" max="28" width="22" customWidth="1"/>
    <x:col min="29" max="29" width="22" customWidth="1"/>
    <x:col min="30" max="30" width="22" customWidth="1"/>
    <x:col min="31" max="31" width="22" customWidth="1"/>
    <x:col min="32" max="32" width="22" customWidth="1"/>
    <x:col min="33" max="33" width="22" customWidth="1"/>
    <x:col min="34" max="34" width="22" customWidth="1"/>
    <x:col min="35" max="35" width="22" customWidth="1"/>
    <x:col min="36" max="36" width="22" customWidth="1"/>
    <x:col min="37" max="37" width="22" customWidth="1"/>
    <x:col min="38" max="38" width="22" customWidth="1"/>
    <x:col min="39" max="39" width="22" customWidth="1"/>
    <x:col min="40" max="40" width="22" customWidth="1"/>
    <x:col min="41" max="41" width="22" customWidth="1"/>
    <x:col min="42" max="42" width="22" customWidth="1"/>
    <x:col min="43" max="43" width="22" customWidth="1"/>
    <x:col min="44" max="44" width="22" customWidth="1"/>
    <x:col min="45" max="45" width="22" customWidth="1"/>
    <x:col min="46" max="46" width="22" customWidth="1"/>
    <x:col min="47" max="47" width="22" customWidth="1"/>
    <x:col min="48" max="48" width="22" customWidth="1"/>
    <x:col min="49" max="49" width="22" customWidth="1"/>
    <x:col min="50" max="50" width="22" customWidth="1"/>
    <x:col min="51" max="51" width="22" customWidth="1"/>
    <x:col min="52" max="52" width="22" customWidth="1"/>
    <x:col min="53" max="53" width="22" customWidth="1"/>
    <x:col min="54" max="54" width="22" customWidth="1"/>
    <x:col min="55" max="55" width="22" customWidth="1"/>
    <x:col min="56" max="56" width="22" customWidth="1"/>
    <x:col min="57" max="57" width="24" customWidth="1"/>
    <x:col min="58" max="58" width="84" customWidth="1"/>
  </x:cols>
  <x:sheetData>
    <x:row r="1">
      <x:c r="A1" s="14" t="inlineStr">
        <x:is>
          <x:t xml:space="preserve">Controlled vocabularies (drives dropdown validation)</x:t>
        </x:is>
      </x:c>
      <x:c r="BE1" s="14" t="inlineStr">
        <x:is>
          <x:t xml:space="preserve">Term definitions</x:t>
        </x:is>
      </x:c>
    </x:row>
    <x:row r="2">
      <x:c r="A2" s="15" t="inlineStr">
        <x:is>
          <x:t xml:space="preserve">Category</x:t>
        </x:is>
      </x:c>
      <x:c r="B2" s="15" t="inlineStr">
        <x:is>
          <x:t xml:space="preserve">Evidential_Role</x:t>
        </x:is>
      </x:c>
      <x:c r="C2" s="15" t="inlineStr">
        <x:is>
          <x:t xml:space="preserve">Stage</x:t>
        </x:is>
      </x:c>
      <x:c r="D2" s="15" t="inlineStr">
        <x:is>
          <x:t xml:space="preserve">Priority</x:t>
        </x:is>
      </x:c>
      <x:c r="E2" s="15" t="inlineStr">
        <x:is>
          <x:t xml:space="preserve">Status</x:t>
        </x:is>
      </x:c>
      <x:c r="F2" s="15" t="inlineStr">
        <x:is>
          <x:t xml:space="preserve">Reporting_Destination</x:t>
        </x:is>
      </x:c>
      <x:c r="G2" s="15" t="inlineStr">
        <x:is>
          <x:t xml:space="preserve">Reviewed</x:t>
        </x:is>
      </x:c>
      <x:c r="H2" s="15" t="inlineStr">
        <x:is>
          <x:t xml:space="preserve">Used_in_Thesis</x:t>
        </x:is>
      </x:c>
      <x:c r="I2" s="15" t="inlineStr">
        <x:is>
          <x:t xml:space="preserve">Freeze_Status</x:t>
        </x:is>
      </x:c>
      <x:c r="J2" s="15" t="inlineStr">
        <x:is>
          <x:t xml:space="preserve">Run_Type</x:t>
        </x:is>
      </x:c>
      <x:c r="K2" s="15" t="inlineStr">
        <x:is>
          <x:t xml:space="preserve">Affects_Frozen_Pipeline</x:t>
        </x:is>
      </x:c>
      <x:c r="L2" s="15" t="inlineStr">
        <x:is>
          <x:t xml:space="preserve">Eligible_for_Method_Decision</x:t>
        </x:is>
      </x:c>
      <x:c r="M2" s="15" t="inlineStr">
        <x:is>
          <x:t xml:space="preserve">Claim_Type</x:t>
        </x:is>
      </x:c>
      <x:c r="N2" s="15" t="inlineStr">
        <x:is>
          <x:t xml:space="preserve">Evidence_Status</x:t>
        </x:is>
      </x:c>
      <x:c r="O2" s="15" t="inlineStr">
        <x:is>
          <x:t xml:space="preserve">Writing_Location</x:t>
        </x:is>
      </x:c>
      <x:c r="P2" s="15" t="inlineStr">
        <x:is>
          <x:t xml:space="preserve">Human_Verification_Status</x:t>
        </x:is>
      </x:c>
      <x:c r="Q2" s="15" t="inlineStr">
        <x:is>
          <x:t xml:space="preserve">Ethics_Status</x:t>
        </x:is>
      </x:c>
      <x:c r="R2" s="15" t="inlineStr">
        <x:is>
          <x:t xml:space="preserve">Ethics_Topic</x:t>
        </x:is>
      </x:c>
      <x:c r="S2" s="15" t="inlineStr">
        <x:is>
          <x:t xml:space="preserve">Required_for_Main_Claim</x:t>
        </x:is>
      </x:c>
      <x:c r="T2" s="15" t="inlineStr">
        <x:is>
          <x:t xml:space="preserve">Ready_for_Chapter_4</x:t>
        </x:is>
      </x:c>
      <x:c r="U2" s="15" t="inlineStr">
        <x:is>
          <x:t xml:space="preserve">YesNo</x:t>
        </x:is>
      </x:c>
      <x:c r="V2" s="15" t="inlineStr">
        <x:is>
          <x:t xml:space="preserve">Subject_Scope</x:t>
        </x:is>
      </x:c>
      <x:c r="W2" s="15" t="inlineStr">
        <x:is>
          <x:t xml:space="preserve">Session_Scope</x:t>
        </x:is>
      </x:c>
      <x:c r="X2" s="15" t="inlineStr">
        <x:is>
          <x:t xml:space="preserve">Task_Scope</x:t>
        </x:is>
      </x:c>
      <x:c r="Y2" s="15" t="inlineStr">
        <x:is>
          <x:t xml:space="preserve">Modality_Scope</x:t>
        </x:is>
      </x:c>
      <x:c r="Z2" s="15" t="inlineStr">
        <x:is>
          <x:t xml:space="preserve">Class_Balance_Policy</x:t>
        </x:is>
      </x:c>
      <x:c r="AA2" s="15" t="inlineStr">
        <x:is>
          <x:t xml:space="preserve">Split_Family</x:t>
        </x:is>
      </x:c>
      <x:c r="AB2" s="15" t="inlineStr">
        <x:is>
          <x:t xml:space="preserve">Imbalance_Status</x:t>
        </x:is>
      </x:c>
      <x:c r="AC2" s="15" t="inlineStr">
        <x:is>
          <x:t xml:space="preserve">Leakage_Check_Status</x:t>
        </x:is>
      </x:c>
      <x:c r="AD2" s="15" t="inlineStr">
        <x:is>
          <x:t xml:space="preserve">Thesis_Use_Tag</x:t>
        </x:is>
      </x:c>
      <x:c r="AE2" s="15" t="inlineStr">
        <x:is>
          <x:t xml:space="preserve">Use_Case</x:t>
        </x:is>
      </x:c>
      <x:c r="AF2" s="15" t="inlineStr">
        <x:is>
          <x:t xml:space="preserve">Group_Unit</x:t>
        </x:is>
      </x:c>
      <x:c r="AG2" s="15" t="inlineStr">
        <x:is>
          <x:t xml:space="preserve">Grouping_Level</x:t>
        </x:is>
      </x:c>
      <x:c r="AH2" s="15" t="inlineStr">
        <x:is>
          <x:t xml:space="preserve">Transfer_Direction</x:t>
        </x:is>
      </x:c>
      <x:c r="AI2" s="15" t="inlineStr">
        <x:is>
          <x:t xml:space="preserve">Leakage_Risk_Level</x:t>
        </x:is>
      </x:c>
      <x:c r="AJ2" s="15" t="inlineStr">
        <x:is>
          <x:t xml:space="preserve">Target_Type</x:t>
        </x:is>
      </x:c>
      <x:c r="AK2" s="15" t="inlineStr">
        <x:is>
          <x:t xml:space="preserve">Execution_Section</x:t>
        </x:is>
      </x:c>
      <x:c r="AL2" s="15" t="inlineStr">
        <x:is>
          <x:t xml:space="preserve">Reuse_Policy</x:t>
        </x:is>
      </x:c>
      <x:c r="AM2" s="15" t="inlineStr">
        <x:is>
          <x:t xml:space="preserve">Search_Optimization_Mode</x:t>
        </x:is>
      </x:c>
      <x:c r="AN2" s="15" t="inlineStr">
        <x:is>
          <x:t xml:space="preserve">Search_Parameter_Scope</x:t>
        </x:is>
      </x:c>
      <x:c r="AO2" s="15" t="inlineStr">
        <x:is>
          <x:t xml:space="preserve">Study_Type</x:t>
        </x:is>
      </x:c>
      <x:c r="AP2" s="15" t="inlineStr">
        <x:is>
          <x:t xml:space="preserve">Study_Intent</x:t>
        </x:is>
      </x:c>
      <x:c r="AQ2" s="15" t="inlineStr">
        <x:is>
          <x:t xml:space="preserve">Factor_Type</x:t>
        </x:is>
      </x:c>
      <x:c r="AR2" s="15" t="inlineStr">
        <x:is>
          <x:t xml:space="preserve">Replication_Mode</x:t>
        </x:is>
      </x:c>
      <x:c r="AS2" s="15" t="inlineStr">
        <x:is>
          <x:t xml:space="preserve">Replication_Strategy</x:t>
        </x:is>
      </x:c>
      <x:c r="AT2" s="15" t="inlineStr">
        <x:is>
          <x:t xml:space="preserve">Blocking_Strategy</x:t>
        </x:is>
      </x:c>
      <x:c r="AU2" s="15" t="inlineStr">
        <x:is>
          <x:t xml:space="preserve">Randomization_Strategy</x:t>
        </x:is>
      </x:c>
      <x:c r="AV2" s="15" t="inlineStr">
        <x:is>
          <x:t xml:space="preserve">Random_Seed_Policy</x:t>
        </x:is>
      </x:c>
      <x:c r="AW2" s="15" t="inlineStr">
        <x:is>
          <x:t xml:space="preserve">Block_Type</x:t>
        </x:is>
      </x:c>
      <x:c r="AX2" s="15" t="inlineStr">
        <x:is>
          <x:t xml:space="preserve">Design_Cell_Status</x:t>
        </x:is>
      </x:c>
      <x:c r="AY2" s="15" t="inlineStr">
        <x:is>
          <x:t xml:space="preserve">Aggregation_Level</x:t>
        </x:is>
      </x:c>
      <x:c r="AZ2" s="15" t="inlineStr">
        <x:is>
          <x:t xml:space="preserve">Uncertainty_Method</x:t>
        </x:is>
      </x:c>
      <x:c r="BA2" s="15" t="inlineStr">
        <x:is>
          <x:t xml:space="preserve">Multiplicity_Handling</x:t>
        </x:is>
      </x:c>
      <x:c r="BB2" s="15" t="inlineStr">
        <x:is>
          <x:t xml:space="preserve">Interaction_Reporting_Policy</x:t>
        </x:is>
      </x:c>
      <x:c r="BC2" s="15" t="inlineStr">
        <x:is>
          <x:t xml:space="preserve">Study_Review_Disposition</x:t>
        </x:is>
      </x:c>
      <x:c r="BD2" s="15" t="inlineStr">
        <x:is>
          <x:t xml:space="preserve">Study_Eligibility_Status</x:t>
        </x:is>
      </x:c>
      <x:c r="BE2" s="15" t="inlineStr">
        <x:is>
          <x:t xml:space="preserve">Term</x:t>
        </x:is>
      </x:c>
      <x:c r="BF2" s="15" t="inlineStr">
        <x:is>
          <x:t xml:space="preserve">Definition</x:t>
        </x:is>
      </x:c>
    </x:row>
    <x:row r="3">
      <x:c r="A3" s="4" t="inlineStr">
        <x:is>
          <x:t xml:space="preserve">Target-definition</x:t>
        </x:is>
      </x:c>
      <x:c r="B3" s="4" t="inlineStr">
        <x:is>
          <x:t xml:space="preserve">Primary confirmatory</x:t>
        </x:is>
      </x:c>
      <x:c r="C3" s="4" t="inlineStr">
        <x:is>
          <x:t xml:space="preserve">Stage 1 - Target lock</x:t>
        </x:is>
      </x:c>
      <x:c r="D3" s="4" t="inlineStr">
        <x:is>
          <x:t xml:space="preserve">Critical</x:t>
        </x:is>
      </x:c>
      <x:c r="E3" s="4" t="inlineStr">
        <x:is>
          <x:t xml:space="preserve">Planned</x:t>
        </x:is>
      </x:c>
      <x:c r="F3" s="4" t="inlineStr">
        <x:is>
          <x:t xml:space="preserve">Chapter 3 Method choice</x:t>
        </x:is>
      </x:c>
      <x:c r="G3" s="4" t="inlineStr">
        <x:is>
          <x:t xml:space="preserve">No</x:t>
        </x:is>
      </x:c>
      <x:c r="H3" s="4" t="inlineStr">
        <x:is>
          <x:t xml:space="preserve">No</x:t>
        </x:is>
      </x:c>
      <x:c r="I3" s="4" t="inlineStr">
        <x:is>
          <x:t xml:space="preserve">Open</x:t>
        </x:is>
      </x:c>
      <x:c r="J3" s="4" t="inlineStr">
        <x:is>
          <x:t xml:space="preserve">Pilot</x:t>
        </x:is>
      </x:c>
      <x:c r="K3" s="4" t="inlineStr">
        <x:is>
          <x:t xml:space="preserve">No</x:t>
        </x:is>
      </x:c>
      <x:c r="L3" s="4" t="inlineStr">
        <x:is>
          <x:t xml:space="preserve">No</x:t>
        </x:is>
      </x:c>
      <x:c r="M3" s="4" t="inlineStr">
        <x:is>
          <x:t xml:space="preserve">Method-choice</x:t>
        </x:is>
      </x:c>
      <x:c r="N3" s="4" t="inlineStr">
        <x:is>
          <x:t xml:space="preserve">open</x:t>
        </x:is>
      </x:c>
      <x:c r="O3" s="4" t="inlineStr">
        <x:is>
          <x:t xml:space="preserve">Chapter 3</x:t>
        </x:is>
      </x:c>
      <x:c r="P3" s="4" t="inlineStr">
        <x:is>
          <x:t xml:space="preserve">Not reviewed</x:t>
        </x:is>
      </x:c>
      <x:c r="Q3" s="4" t="inlineStr">
        <x:is>
          <x:t xml:space="preserve">Open</x:t>
        </x:is>
      </x:c>
      <x:c r="R3" s="4" t="inlineStr">
        <x:is>
          <x:t xml:space="preserve">Data governance</x:t>
        </x:is>
      </x:c>
      <x:c r="S3" s="4" t="inlineStr">
        <x:is>
          <x:t xml:space="preserve">No</x:t>
        </x:is>
      </x:c>
      <x:c r="T3" s="4" t="inlineStr">
        <x:is>
          <x:t xml:space="preserve">No</x:t>
        </x:is>
      </x:c>
      <x:c r="U3" s="4" t="inlineStr">
        <x:is>
          <x:t xml:space="preserve">No</x:t>
        </x:is>
      </x:c>
      <x:c r="V3" s="4" t="inlineStr">
        <x:is>
          <x:t xml:space="preserve">all_subjects</x:t>
        </x:is>
      </x:c>
      <x:c r="W3" s="4" t="inlineStr">
        <x:is>
          <x:t xml:space="preserve">all_sessions</x:t>
        </x:is>
      </x:c>
      <x:c r="X3" s="4" t="inlineStr">
        <x:is>
          <x:t xml:space="preserve">pooled_all_tasks</x:t>
        </x:is>
      </x:c>
      <x:c r="Y3" s="4" t="inlineStr">
        <x:is>
          <x:t xml:space="preserve">pooled_all_modalities</x:t>
        </x:is>
      </x:c>
      <x:c r="Z3" s="4" t="inlineStr">
        <x:is>
          <x:t xml:space="preserve">as_is</x:t>
        </x:is>
      </x:c>
      <x:c r="AA3" s="4" t="inlineStr">
        <x:is>
          <x:t xml:space="preserve">within_subject</x:t>
        </x:is>
      </x:c>
      <x:c r="AB3" s="4" t="inlineStr">
        <x:is>
          <x:t xml:space="preserve">unknown</x:t>
        </x:is>
      </x:c>
      <x:c r="AC3" s="4" t="inlineStr">
        <x:is>
          <x:t xml:space="preserve">not_checked</x:t>
        </x:is>
      </x:c>
      <x:c r="AD3" s="4" t="inlineStr">
        <x:is>
          <x:t xml:space="preserve">method_choice</x:t>
        </x:is>
      </x:c>
      <x:c r="AE3" s="4" t="inlineStr">
        <x:is>
          <x:t xml:space="preserve">method_choice</x:t>
        </x:is>
      </x:c>
      <x:c r="AF3" s="4" t="inlineStr">
        <x:is>
          <x:t xml:space="preserve">subject</x:t>
        </x:is>
      </x:c>
      <x:c r="AG3" s="4" t="inlineStr">
        <x:is>
          <x:t xml:space="preserve">within_subject</x:t>
        </x:is>
      </x:c>
      <x:c r="AH3" s="4" t="inlineStr">
        <x:is>
          <x:t xml:space="preserve">none_or_within_subject</x:t>
        </x:is>
      </x:c>
      <x:c r="AI3" s="4" t="inlineStr">
        <x:is>
          <x:t xml:space="preserve">low</x:t>
        </x:is>
      </x:c>
      <x:c r="AJ3" s="4" t="inlineStr">
        <x:is>
          <x:t xml:space="preserve">coarse_affect</x:t>
        </x:is>
      </x:c>
      <x:c r="AK3" s="4" t="inlineStr">
        <x:is>
          <x:t xml:space="preserve">dataset_selection</x:t>
        </x:is>
      </x:c>
      <x:c r="AL3" s="4" t="inlineStr">
        <x:is>
          <x:t xml:space="preserve">auto</x:t>
        </x:is>
      </x:c>
      <x:c r="AM3" s="4" t="inlineStr">
        <x:is>
          <x:t xml:space="preserve">deterministic_grid</x:t>
        </x:is>
      </x:c>
      <x:c r="AN3" s="4" t="inlineStr">
        <x:is>
          <x:t xml:space="preserve">parameter</x:t>
        </x:is>
      </x:c>
      <x:c r="AO3" s="4" t="inlineStr">
        <x:is>
          <x:t xml:space="preserve">single_experiment</x:t>
        </x:is>
      </x:c>
      <x:c r="AP3" s="4" t="inlineStr">
        <x:is>
          <x:t xml:space="preserve">exploratory</x:t>
        </x:is>
      </x:c>
      <x:c r="AQ3" s="4" t="inlineStr">
        <x:is>
          <x:t xml:space="preserve">categorical</x:t>
        </x:is>
      </x:c>
      <x:c r="AR3" s="4" t="inlineStr">
        <x:is>
          <x:t xml:space="preserve">none</x:t>
        </x:is>
      </x:c>
      <x:c r="AS3" s="4" t="inlineStr">
        <x:is>
          <x:t xml:space="preserve">none</x:t>
        </x:is>
      </x:c>
      <x:c r="AT3" s="4" t="inlineStr">
        <x:is>
          <x:t xml:space="preserve">none</x:t>
        </x:is>
      </x:c>
      <x:c r="AU3" s="4" t="inlineStr">
        <x:is>
          <x:t xml:space="preserve">none</x:t>
        </x:is>
      </x:c>
      <x:c r="AV3" s="4" t="inlineStr">
        <x:is>
          <x:t xml:space="preserve">fixed</x:t>
        </x:is>
      </x:c>
      <x:c r="AW3" s="4" t="inlineStr">
        <x:is>
          <x:t xml:space="preserve">none</x:t>
        </x:is>
      </x:c>
      <x:c r="AX3" s="4" t="inlineStr">
        <x:is>
          <x:t xml:space="preserve">planned</x:t>
        </x:is>
      </x:c>
      <x:c r="AY3" s="4" t="inlineStr">
        <x:is>
          <x:t xml:space="preserve">trial</x:t>
        </x:is>
      </x:c>
      <x:c r="AZ3" s="4" t="inlineStr">
        <x:is>
          <x:t xml:space="preserve">none</x:t>
        </x:is>
      </x:c>
      <x:c r="BA3" s="4" t="inlineStr">
        <x:is>
          <x:t xml:space="preserve">none</x:t>
        </x:is>
      </x:c>
      <x:c r="BB3" s="4" t="inlineStr">
        <x:is>
          <x:t xml:space="preserve">none</x:t>
        </x:is>
      </x:c>
      <x:c r="BC3" s="4" t="inlineStr">
        <x:is>
          <x:t xml:space="preserve">allowed</x:t>
        </x:is>
      </x:c>
      <x:c r="BD3" s="4" t="inlineStr">
        <x:is>
          <x:t xml:space="preserve">eligible</x:t>
        </x:is>
      </x:c>
      <x:c r="BE3" s="4" t="inlineStr">
        <x:is>
          <x:t xml:space="preserve">confirmatory</x:t>
        </x:is>
      </x:c>
      <x:c r="BF3" s="3" t="inlineStr">
        <x:is>
          <x:t xml:space="preserve">Pre-specified, locked-pipeline evidence analysis supporting main thesis claims.</x:t>
        </x:is>
      </x:c>
    </x:row>
    <x:row r="4">
      <x:c r="A4" s="12" t="inlineStr">
        <x:is>
          <x:t xml:space="preserve">Split-design</x:t>
        </x:is>
      </x:c>
      <x:c r="B4" s="12" t="inlineStr">
        <x:is>
          <x:t xml:space="preserve">Primary-supporting robustness</x:t>
        </x:is>
      </x:c>
      <x:c r="C4" s="12" t="inlineStr">
        <x:is>
          <x:t xml:space="preserve">Stage 2 - Split lock</x:t>
        </x:is>
      </x:c>
      <x:c r="D4" s="12" t="inlineStr">
        <x:is>
          <x:t xml:space="preserve">High</x:t>
        </x:is>
      </x:c>
      <x:c r="E4" s="12" t="inlineStr">
        <x:is>
          <x:t xml:space="preserve">Not started</x:t>
        </x:is>
      </x:c>
      <x:c r="F4" s="12" t="inlineStr">
        <x:is>
          <x:t xml:space="preserve">Chapter 4 Main results</x:t>
        </x:is>
      </x:c>
      <x:c r="G4" s="12" t="inlineStr">
        <x:is>
          <x:t xml:space="preserve">Yes</x:t>
        </x:is>
      </x:c>
      <x:c r="H4" s="12" t="inlineStr">
        <x:is>
          <x:t xml:space="preserve">Yes</x:t>
        </x:is>
      </x:c>
      <x:c r="I4" s="12" t="inlineStr">
        <x:is>
          <x:t xml:space="preserve">Locked</x:t>
        </x:is>
      </x:c>
      <x:c r="J4" s="12" t="inlineStr">
        <x:is>
          <x:t xml:space="preserve">Decision-support</x:t>
        </x:is>
      </x:c>
      <x:c r="K4" s="12" t="inlineStr">
        <x:is>
          <x:t xml:space="preserve">Yes</x:t>
        </x:is>
      </x:c>
      <x:c r="L4" s="12" t="inlineStr">
        <x:is>
          <x:t xml:space="preserve">Yes</x:t>
        </x:is>
      </x:c>
      <x:c r="M4" s="12" t="inlineStr">
        <x:is>
          <x:t xml:space="preserve">Confirmatory finding</x:t>
        </x:is>
      </x:c>
      <x:c r="N4" s="12" t="inlineStr">
        <x:is>
          <x:t xml:space="preserve">partial</x:t>
        </x:is>
      </x:c>
      <x:c r="O4" s="12" t="inlineStr">
        <x:is>
          <x:t xml:space="preserve">Chapter 4</x:t>
        </x:is>
      </x:c>
      <x:c r="P4" s="12" t="inlineStr">
        <x:is>
          <x:t xml:space="preserve">Partially verified</x:t>
        </x:is>
      </x:c>
      <x:c r="Q4" s="12" t="inlineStr">
        <x:is>
          <x:t xml:space="preserve">Monitoring</x:t>
        </x:is>
      </x:c>
      <x:c r="R4" s="12" t="inlineStr">
        <x:is>
          <x:t xml:space="preserve">Bias/fairness</x:t>
        </x:is>
      </x:c>
      <x:c r="S4" s="12" t="inlineStr">
        <x:is>
          <x:t xml:space="preserve">Yes</x:t>
        </x:is>
      </x:c>
      <x:c r="T4" s="12" t="inlineStr">
        <x:is>
          <x:t xml:space="preserve">Yes</x:t>
        </x:is>
      </x:c>
      <x:c r="U4" s="12" t="inlineStr">
        <x:is>
          <x:t xml:space="preserve">Yes</x:t>
        </x:is>
      </x:c>
      <x:c r="V4" s="12" t="inlineStr">
        <x:is>
          <x:t xml:space="preserve">single_subject</x:t>
        </x:is>
      </x:c>
      <x:c r="W4" s="12" t="inlineStr">
        <x:is>
          <x:t xml:space="preserve">early_only</x:t>
        </x:is>
      </x:c>
      <x:c r="X4" s="12" t="inlineStr">
        <x:is>
          <x:t xml:space="preserve">passive_only</x:t>
        </x:is>
      </x:c>
      <x:c r="Y4" s="12" t="inlineStr">
        <x:is>
          <x:t xml:space="preserve">audio_only</x:t>
        </x:is>
      </x:c>
      <x:c r="Z4" s="12" t="inlineStr">
        <x:is>
          <x:t xml:space="preserve">balanced_subset</x:t>
        </x:is>
      </x:c>
      <x:c r="AA4" s="12" t="inlineStr">
        <x:is>
          <x:t xml:space="preserve">cross_person</x:t>
        </x:is>
      </x:c>
      <x:c r="AB4" s="12" t="inlineStr">
        <x:is>
          <x:t xml:space="preserve">balanced</x:t>
        </x:is>
      </x:c>
      <x:c r="AC4" s="12" t="inlineStr">
        <x:is>
          <x:t xml:space="preserve">passed</x:t>
        </x:is>
      </x:c>
      <x:c r="AD4" s="12" t="inlineStr">
        <x:is>
          <x:t xml:space="preserve">main_confirmatory</x:t>
        </x:is>
      </x:c>
      <x:c r="AE4" s="12" t="inlineStr">
        <x:is>
          <x:t xml:space="preserve">confirmatory_within_person</x:t>
        </x:is>
      </x:c>
      <x:c r="AF4" s="12" t="inlineStr">
        <x:is>
          <x:t xml:space="preserve">session</x:t>
        </x:is>
      </x:c>
      <x:c r="AG4" s="12" t="inlineStr">
        <x:is>
          <x:t xml:space="preserve">across_subject</x:t>
        </x:is>
      </x:c>
      <x:c r="AH4" s="12" t="inlineStr">
        <x:is>
          <x:t xml:space="preserve">A_to_B</x:t>
        </x:is>
      </x:c>
      <x:c r="AI4" s="12" t="inlineStr">
        <x:is>
          <x:t xml:space="preserve">medium</x:t>
        </x:is>
      </x:c>
      <x:c r="AJ4" s="12" t="inlineStr">
        <x:is>
          <x:t xml:space="preserve">binary_valence_like</x:t>
        </x:is>
      </x:c>
      <x:c r="AK4" s="12" t="inlineStr">
        <x:is>
          <x:t xml:space="preserve">feature_cache_build</x:t>
        </x:is>
      </x:c>
      <x:c r="AL4" s="12" t="inlineStr">
        <x:is>
          <x:t xml:space="preserve">require_explicit_base</x:t>
        </x:is>
      </x:c>
      <x:c r="AM4" s="12" t="inlineStr">
        <x:is>
          <x:t xml:space="preserve">optuna</x:t>
        </x:is>
      </x:c>
      <x:c r="AN4" s="12" t="inlineStr">
        <x:is>
          <x:t xml:space="preserve">segment</x:t>
        </x:is>
      </x:c>
      <x:c r="AO4" s="12" t="inlineStr">
        <x:is>
          <x:t xml:space="preserve">full_factorial</x:t>
        </x:is>
      </x:c>
      <x:c r="AP4" s="12" t="inlineStr">
        <x:is>
          <x:t xml:space="preserve">confirmatory</x:t>
        </x:is>
      </x:c>
      <x:c r="AQ4" s="12" t="inlineStr">
        <x:is>
          <x:t xml:space="preserve">boolean</x:t>
        </x:is>
      </x:c>
      <x:c r="AR4" s="12" t="inlineStr">
        <x:is>
          <x:t xml:space="preserve">fixed_repeats</x:t>
        </x:is>
      </x:c>
      <x:c r="AS4" s="12" t="inlineStr">
        <x:is>
          <x:t xml:space="preserve">fixed_repeats</x:t>
        </x:is>
      </x:c>
      <x:c r="AT4" s="12" t="inlineStr">
        <x:is>
          <x:t xml:space="preserve">by_subject</x:t>
        </x:is>
      </x:c>
      <x:c r="AU4" s="12" t="inlineStr">
        <x:is>
          <x:t xml:space="preserve">fixed_order</x:t>
        </x:is>
      </x:c>
      <x:c r="AV4" s="12" t="inlineStr">
        <x:is>
          <x:t xml:space="preserve">per_repeat</x:t>
        </x:is>
      </x:c>
      <x:c r="AW4" s="12" t="inlineStr">
        <x:is>
          <x:t xml:space="preserve">subject</x:t>
        </x:is>
      </x:c>
      <x:c r="AX4" s="12" t="inlineStr">
        <x:is>
          <x:t xml:space="preserve">dry_run</x:t>
        </x:is>
      </x:c>
      <x:c r="AY4" s="12" t="inlineStr">
        <x:is>
          <x:t xml:space="preserve">cell</x:t>
        </x:is>
      </x:c>
      <x:c r="AZ4" s="12" t="inlineStr">
        <x:is>
          <x:t xml:space="preserve">standard_error</x:t>
        </x:is>
      </x:c>
      <x:c r="BA4" s="12" t="inlineStr">
        <x:is>
          <x:t xml:space="preserve">bonferroni</x:t>
        </x:is>
      </x:c>
      <x:c r="BB4" s="12" t="inlineStr">
        <x:is>
          <x:t xml:space="preserve">descriptive_only</x:t>
        </x:is>
      </x:c>
      <x:c r="BC4" s="12" t="inlineStr">
        <x:is>
          <x:t xml:space="preserve">warning</x:t>
        </x:is>
      </x:c>
      <x:c r="BD4" s="12" t="inlineStr">
        <x:is>
          <x:t xml:space="preserve">eligible_with_warnings</x:t>
        </x:is>
      </x:c>
      <x:c r="BE4" s="12" t="inlineStr">
        <x:is>
          <x:t xml:space="preserve">decision-support</x:t>
        </x:is>
      </x:c>
      <x:c r="BF4" s="8" t="inlineStr">
        <x:is>
          <x:t xml:space="preserve">Method-choice analysis performed before locking confirmatory settings.</x:t>
        </x:is>
      </x:c>
    </x:row>
    <x:row r="5">
      <x:c r="A5" s="4" t="inlineStr">
        <x:is>
          <x:t xml:space="preserve">Model-comparison</x:t>
        </x:is>
      </x:c>
      <x:c r="B5" s="4" t="inlineStr">
        <x:is>
          <x:t xml:space="preserve">Secondary decision-support</x:t>
        </x:is>
      </x:c>
      <x:c r="C5" s="4" t="inlineStr">
        <x:is>
          <x:t xml:space="preserve">Stage 3 - Model lock</x:t>
        </x:is>
      </x:c>
      <x:c r="D5" s="4" t="inlineStr">
        <x:is>
          <x:t xml:space="preserve">Medium</x:t>
        </x:is>
      </x:c>
      <x:c r="E5" s="4" t="inlineStr">
        <x:is>
          <x:t xml:space="preserve">Running</x:t>
        </x:is>
      </x:c>
      <x:c r="F5" s="4" t="inlineStr">
        <x:is>
          <x:t xml:space="preserve">Chapter 4 Supporting robustness</x:t>
        </x:is>
      </x:c>
      <x:c r="J5" s="4" t="inlineStr">
        <x:is>
          <x:t xml:space="preserve">Confirmatory</x:t>
        </x:is>
      </x:c>
      <x:c r="M5" s="4" t="inlineStr">
        <x:is>
          <x:t xml:space="preserve">Robustness support</x:t>
        </x:is>
      </x:c>
      <x:c r="N5" s="4" t="inlineStr">
        <x:is>
          <x:t xml:space="preserve">supported</x:t>
        </x:is>
      </x:c>
      <x:c r="O5" s="4" t="inlineStr">
        <x:is>
          <x:t xml:space="preserve">Chapter 5</x:t>
        </x:is>
      </x:c>
      <x:c r="P5" s="4" t="inlineStr">
        <x:is>
          <x:t xml:space="preserve">Verified</x:t>
        </x:is>
      </x:c>
      <x:c r="Q5" s="4" t="inlineStr">
        <x:is>
          <x:t xml:space="preserve">Closed</x:t>
        </x:is>
      </x:c>
      <x:c r="R5" s="4" t="inlineStr">
        <x:is>
          <x:t xml:space="preserve">Interpretation limits</x:t>
        </x:is>
      </x:c>
      <x:c r="V5" s="4" t="inlineStr">
        <x:is>
          <x:t xml:space="preserve">cross_person_transfer</x:t>
        </x:is>
      </x:c>
      <x:c r="W5" s="4" t="inlineStr">
        <x:is>
          <x:t xml:space="preserve">late_only</x:t>
        </x:is>
      </x:c>
      <x:c r="X5" s="4" t="inlineStr">
        <x:is>
          <x:t xml:space="preserve">emo_only</x:t>
        </x:is>
      </x:c>
      <x:c r="Y5" s="4" t="inlineStr">
        <x:is>
          <x:t xml:space="preserve">video_only</x:t>
        </x:is>
      </x:c>
      <x:c r="Z5" s="4" t="inlineStr">
        <x:is>
          <x:t xml:space="preserve">weighted_only</x:t>
        </x:is>
      </x:c>
      <x:c r="AA5" s="4" t="inlineStr">
        <x:is>
          <x:t xml:space="preserve">temporal</x:t>
        </x:is>
      </x:c>
      <x:c r="AB5" s="4" t="inlineStr">
        <x:is>
          <x:t xml:space="preserve">mild_imbalance</x:t>
        </x:is>
      </x:c>
      <x:c r="AC5" s="4" t="inlineStr">
        <x:is>
          <x:t xml:space="preserve">warning</x:t>
        </x:is>
      </x:c>
      <x:c r="AD5" s="4" t="inlineStr">
        <x:is>
          <x:t xml:space="preserve">supporting_robustness</x:t>
        </x:is>
      </x:c>
      <x:c r="AE5" s="4" t="inlineStr">
        <x:is>
          <x:t xml:space="preserve">confirmatory_cross_person_transfer</x:t>
        </x:is>
      </x:c>
      <x:c r="AF5" s="4" t="inlineStr">
        <x:is>
          <x:t xml:space="preserve">task</x:t>
        </x:is>
      </x:c>
      <x:c r="AG5" s="4" t="inlineStr">
        <x:is>
          <x:t xml:space="preserve">session_level</x:t>
        </x:is>
      </x:c>
      <x:c r="AH5" s="4" t="inlineStr">
        <x:is>
          <x:t xml:space="preserve">B_to_A</x:t>
        </x:is>
      </x:c>
      <x:c r="AI5" s="4" t="inlineStr">
        <x:is>
          <x:t xml:space="preserve">high</x:t>
        </x:is>
      </x:c>
      <x:c r="AJ5" s="4" t="inlineStr">
        <x:is>
          <x:t xml:space="preserve">fine_emotion</x:t>
        </x:is>
      </x:c>
      <x:c r="AK5" s="4" t="inlineStr">
        <x:is>
          <x:t xml:space="preserve">feature_matrix_load</x:t>
        </x:is>
      </x:c>
      <x:c r="AL5" s="4" t="inlineStr">
        <x:is>
          <x:t xml:space="preserve">disallow</x:t>
        </x:is>
      </x:c>
      <x:c r="AN5" s="4" t="inlineStr">
        <x:is>
          <x:t xml:space="preserve">xai</x:t>
        </x:is>
      </x:c>
      <x:c r="AO5" s="4" t="inlineStr">
        <x:is>
          <x:t xml:space="preserve">fractional_factorial</x:t>
        </x:is>
      </x:c>
      <x:c r="AQ5" s="4" t="inlineStr">
        <x:is>
          <x:t xml:space="preserve">ordinal</x:t>
        </x:is>
      </x:c>
      <x:c r="AR5" s="4" t="inlineStr">
        <x:is>
          <x:t xml:space="preserve">custom_blocks</x:t>
        </x:is>
      </x:c>
      <x:c r="AS5" s="4" t="inlineStr">
        <x:is>
          <x:t xml:space="preserve">blocked_repeats</x:t>
        </x:is>
      </x:c>
      <x:c r="AT5" s="4" t="inlineStr">
        <x:is>
          <x:t xml:space="preserve">by_task</x:t>
        </x:is>
      </x:c>
      <x:c r="AU5" s="4" t="inlineStr">
        <x:is>
          <x:t xml:space="preserve">random_per_trial</x:t>
        </x:is>
      </x:c>
      <x:c r="AV5" s="4" t="inlineStr">
        <x:is>
          <x:t xml:space="preserve">per_cell</x:t>
        </x:is>
      </x:c>
      <x:c r="AW5" s="4" t="inlineStr">
        <x:is>
          <x:t xml:space="preserve">task</x:t>
        </x:is>
      </x:c>
      <x:c r="AX5" s="4" t="inlineStr">
        <x:is>
          <x:t xml:space="preserve">completed</x:t>
        </x:is>
      </x:c>
      <x:c r="AY5" s="4" t="inlineStr">
        <x:is>
          <x:t xml:space="preserve">subject</x:t>
        </x:is>
      </x:c>
      <x:c r="AZ5" s="4" t="inlineStr">
        <x:is>
          <x:t xml:space="preserve">confidence_interval</x:t>
        </x:is>
      </x:c>
      <x:c r="BA5" s="4" t="inlineStr">
        <x:is>
          <x:t xml:space="preserve">holm</x:t>
        </x:is>
      </x:c>
      <x:c r="BB5" s="4" t="inlineStr">
        <x:is>
          <x:t xml:space="preserve">pre_specified_only</x:t>
        </x:is>
      </x:c>
      <x:c r="BC5" s="4" t="inlineStr">
        <x:is>
          <x:t xml:space="preserve">blocked</x:t>
        </x:is>
      </x:c>
      <x:c r="BD5" s="4" t="inlineStr">
        <x:is>
          <x:t xml:space="preserve">blocked</x:t>
        </x:is>
      </x:c>
      <x:c r="BE5" s="4" t="inlineStr">
        <x:is>
          <x:t xml:space="preserve">exploratory</x:t>
        </x:is>
      </x:c>
      <x:c r="BF5" s="3" t="inlineStr">
        <x:is>
          <x:t xml:space="preserve">Hypothesis-generating extension outside confirmatory core.</x:t>
        </x:is>
      </x:c>
    </x:row>
    <x:row r="6">
      <x:c r="A6" s="12" t="inlineStr">
        <x:is>
          <x:t xml:space="preserve">Preprocessing-feature</x:t>
        </x:is>
      </x:c>
      <x:c r="B6" s="12" t="inlineStr">
        <x:is>
          <x:t xml:space="preserve">Secondary decision-support / robustness</x:t>
        </x:is>
      </x:c>
      <x:c r="C6" s="12" t="inlineStr">
        <x:is>
          <x:t xml:space="preserve">Stage 4 - Feature/preprocessing lock</x:t>
        </x:is>
      </x:c>
      <x:c r="D6" s="12" t="inlineStr">
        <x:is>
          <x:t xml:space="preserve">Low</x:t>
        </x:is>
      </x:c>
      <x:c r="E6" s="12" t="inlineStr">
        <x:is>
          <x:t xml:space="preserve">Completed</x:t>
        </x:is>
      </x:c>
      <x:c r="F6" s="12" t="inlineStr">
        <x:is>
          <x:t xml:space="preserve">Chapter 5 Discussion</x:t>
        </x:is>
      </x:c>
      <x:c r="J6" s="12" t="inlineStr">
        <x:is>
          <x:t xml:space="preserve">Robustness</x:t>
        </x:is>
      </x:c>
      <x:c r="M6" s="12" t="inlineStr">
        <x:is>
          <x:t xml:space="preserve">Exploratory observation</x:t>
        </x:is>
      </x:c>
      <x:c r="O6" s="12" t="inlineStr">
        <x:is>
          <x:t xml:space="preserve">Appendix</x:t>
        </x:is>
      </x:c>
      <x:c r="R6" s="12" t="inlineStr">
        <x:is>
          <x:t xml:space="preserve">AI/tool transparency</x:t>
        </x:is>
      </x:c>
      <x:c r="W6" s="12" t="inlineStr">
        <x:is>
          <x:t xml:space="preserve">held_out_session</x:t>
        </x:is>
      </x:c>
      <x:c r="X6" s="12" t="inlineStr">
        <x:is>
          <x:t xml:space="preserve">rating_only</x:t>
        </x:is>
      </x:c>
      <x:c r="Y6" s="12" t="inlineStr">
        <x:is>
          <x:t xml:space="preserve">audiovisual_only</x:t>
        </x:is>
      </x:c>
      <x:c r="Z6" s="12" t="inlineStr">
        <x:is>
          <x:t xml:space="preserve">min_count_threshold</x:t>
        </x:is>
      </x:c>
      <x:c r="AA6" s="12" t="inlineStr">
        <x:is>
          <x:t xml:space="preserve">weak_split_demo</x:t>
        </x:is>
      </x:c>
      <x:c r="AB6" s="12" t="inlineStr">
        <x:is>
          <x:t xml:space="preserve">severe_imbalance</x:t>
        </x:is>
      </x:c>
      <x:c r="AC6" s="12" t="inlineStr">
        <x:is>
          <x:t xml:space="preserve">failed</x:t>
        </x:is>
      </x:c>
      <x:c r="AD6" s="12" t="inlineStr">
        <x:is>
          <x:t xml:space="preserve">discussion_limitations</x:t>
        </x:is>
      </x:c>
      <x:c r="AE6" s="12" t="inlineStr">
        <x:is>
          <x:t xml:space="preserve">robustness_support</x:t>
        </x:is>
      </x:c>
      <x:c r="AF6" s="12" t="inlineStr">
        <x:is>
          <x:t xml:space="preserve">modality</x:t>
        </x:is>
      </x:c>
      <x:c r="AG6" s="12" t="inlineStr">
        <x:is>
          <x:t xml:space="preserve">task_level</x:t>
        </x:is>
      </x:c>
      <x:c r="AH6" s="12" t="inlineStr">
        <x:is>
          <x:t xml:space="preserve">bidirectional</x:t>
        </x:is>
      </x:c>
      <x:c r="AI6" s="12" t="inlineStr">
        <x:is>
          <x:t xml:space="preserve">critical</x:t>
        </x:is>
      </x:c>
      <x:c r="AJ6" s="12" t="inlineStr">
        <x:is>
          <x:t xml:space="preserve">custom_target</x:t>
        </x:is>
      </x:c>
      <x:c r="AK6" s="12" t="inlineStr">
        <x:is>
          <x:t xml:space="preserve">spatial_validation</x:t>
        </x:is>
      </x:c>
      <x:c r="AO6" s="12" t="inlineStr">
        <x:is>
          <x:t xml:space="preserve">custom_matrix</x:t>
        </x:is>
      </x:c>
      <x:c r="AQ6" s="12" t="inlineStr">
        <x:is>
          <x:t xml:space="preserve">numeric</x:t>
        </x:is>
      </x:c>
      <x:c r="AS6" s="12" t="inlineStr">
        <x:is>
          <x:t xml:space="preserve">custom</x:t>
        </x:is>
      </x:c>
      <x:c r="AT6" s="12" t="inlineStr">
        <x:is>
          <x:t xml:space="preserve">by_modality</x:t>
        </x:is>
      </x:c>
      <x:c r="AU6" s="12" t="inlineStr">
        <x:is>
          <x:t xml:space="preserve">random_per_repeat</x:t>
        </x:is>
      </x:c>
      <x:c r="AW6" s="12" t="inlineStr">
        <x:is>
          <x:t xml:space="preserve">modality</x:t>
        </x:is>
      </x:c>
      <x:c r="AX6" s="12" t="inlineStr">
        <x:is>
          <x:t xml:space="preserve">failed</x:t>
        </x:is>
      </x:c>
      <x:c r="AY6" s="12" t="inlineStr">
        <x:is>
          <x:t xml:space="preserve">fold</x:t>
        </x:is>
      </x:c>
      <x:c r="AZ6" s="12" t="inlineStr">
        <x:is>
          <x:t xml:space="preserve">bootstrap</x:t>
        </x:is>
      </x:c>
      <x:c r="BA6" s="12" t="inlineStr">
        <x:is>
          <x:t xml:space="preserve">fdr</x:t>
        </x:is>
      </x:c>
      <x:c r="BB6" s="12" t="inlineStr">
        <x:is>
          <x:t xml:space="preserve">all_two_way_descriptive</x:t>
        </x:is>
      </x:c>
      <x:c r="BE6" s="12" t="inlineStr">
        <x:is>
          <x:t xml:space="preserve">data slice</x:t>
        </x:is>
      </x:c>
      <x:c r="BF6" s="8" t="inlineStr">
        <x:is>
          <x:t xml:space="preserve">Explicit subset policy over subjects/sessions/tasks/modalities/labels used by runs.</x:t>
        </x:is>
      </x:c>
    </x:row>
    <x:row r="7">
      <x:c r="A7" s="4" t="inlineStr">
        <x:is>
          <x:t xml:space="preserve">Robustness</x:t>
        </x:is>
      </x:c>
      <x:c r="B7" s="4" t="inlineStr">
        <x:is>
          <x:t xml:space="preserve">Exploratory extension</x:t>
        </x:is>
      </x:c>
      <x:c r="C7" s="4" t="inlineStr">
        <x:is>
          <x:t xml:space="preserve">Stage 5 - Confirmatory analysis</x:t>
        </x:is>
      </x:c>
      <x:c r="E7" s="4" t="inlineStr">
        <x:is>
          <x:t xml:space="preserve">On hold</x:t>
        </x:is>
      </x:c>
      <x:c r="F7" s="4" t="inlineStr">
        <x:is>
          <x:t xml:space="preserve">Appendix</x:t>
        </x:is>
      </x:c>
      <x:c r="J7" s="4" t="inlineStr">
        <x:is>
          <x:t xml:space="preserve">Exploratory</x:t>
        </x:is>
      </x:c>
      <x:c r="R7" s="4" t="inlineStr">
        <x:is>
          <x:t xml:space="preserve">Reproducibility</x:t>
        </x:is>
      </x:c>
      <x:c r="W7" s="4" t="inlineStr">
        <x:is>
          <x:t xml:space="preserve">custom_window</x:t>
        </x:is>
      </x:c>
      <x:c r="X7" s="4" t="inlineStr">
        <x:is>
          <x:t xml:space="preserve">task_specific_other</x:t>
        </x:is>
      </x:c>
      <x:c r="AA7" s="4" t="inlineStr">
        <x:is>
          <x:t xml:space="preserve">diagnostic</x:t>
        </x:is>
      </x:c>
      <x:c r="AD7" s="4" t="inlineStr">
        <x:is>
          <x:t xml:space="preserve">appendix_exploratory</x:t>
        </x:is>
      </x:c>
      <x:c r="AE7" s="4" t="inlineStr">
        <x:is>
          <x:t xml:space="preserve">weak_split_demo_only</x:t>
        </x:is>
      </x:c>
      <x:c r="AF7" s="4" t="inlineStr">
        <x:is>
          <x:t xml:space="preserve">subject_session</x:t>
        </x:is>
      </x:c>
      <x:c r="AG7" s="4" t="inlineStr">
        <x:is>
          <x:t xml:space="preserve">modality_level</x:t>
        </x:is>
      </x:c>
      <x:c r="AH7" s="4" t="inlineStr">
        <x:is>
          <x:t xml:space="preserve">custom</x:t>
        </x:is>
      </x:c>
      <x:c r="AK7" s="4" t="inlineStr">
        <x:is>
          <x:t xml:space="preserve">model_fit</x:t>
        </x:is>
      </x:c>
      <x:c r="AT7" s="4" t="inlineStr">
        <x:is>
          <x:t xml:space="preserve">custom</x:t>
        </x:is>
      </x:c>
      <x:c r="AU7" s="4" t="inlineStr">
        <x:is>
          <x:t xml:space="preserve">custom</x:t>
        </x:is>
      </x:c>
      <x:c r="AW7" s="4" t="inlineStr">
        <x:is>
          <x:t xml:space="preserve">custom</x:t>
        </x:is>
      </x:c>
      <x:c r="AX7" s="4" t="inlineStr">
        <x:is>
          <x:t xml:space="preserve">blocked</x:t>
        </x:is>
      </x:c>
      <x:c r="AY7" s="4" t="inlineStr">
        <x:is>
          <x:t xml:space="preserve">group</x:t>
        </x:is>
      </x:c>
      <x:c r="AZ7" s="4" t="inlineStr">
        <x:is>
          <x:t xml:space="preserve">permutation</x:t>
        </x:is>
      </x:c>
      <x:c r="BA7" s="4" t="inlineStr">
        <x:is>
          <x:t xml:space="preserve">hierarchical_gatekeeping</x:t>
        </x:is>
      </x:c>
      <x:c r="BE7" s="4" t="inlineStr">
        <x:is>
          <x:t xml:space="preserve">grouping strategy</x:t>
        </x:is>
      </x:c>
      <x:c r="BF7" s="3" t="inlineStr">
        <x:is>
          <x:t xml:space="preserve">Explicit train/test grouping logic and split family for claim-matched evaluation.</x:t>
        </x:is>
      </x:c>
    </x:row>
    <x:row r="8">
      <x:c r="A8" s="12" t="inlineStr">
        <x:is>
          <x:t xml:space="preserve">Confirmatory core</x:t>
        </x:is>
      </x:c>
      <x:c r="C8" s="12" t="inlineStr">
        <x:is>
          <x:t xml:space="preserve">Stage 6 - Robustness analysis</x:t>
        </x:is>
      </x:c>
      <x:c r="E8" s="12" t="inlineStr">
        <x:is>
          <x:t xml:space="preserve">Dropped</x:t>
        </x:is>
      </x:c>
      <x:c r="R8" s="12" t="inlineStr">
        <x:is>
          <x:t xml:space="preserve">Other</x:t>
        </x:is>
      </x:c>
      <x:c r="AE8" s="12" t="inlineStr">
        <x:is>
          <x:t xml:space="preserve">diagnostic_only</x:t>
        </x:is>
      </x:c>
      <x:c r="AF8" s="12" t="inlineStr">
        <x:is>
          <x:t xml:space="preserve">task_modality</x:t>
        </x:is>
      </x:c>
      <x:c r="AG8" s="12" t="inlineStr">
        <x:is>
          <x:t xml:space="preserve">task_modality_level</x:t>
        </x:is>
      </x:c>
      <x:c r="AK8" s="12" t="inlineStr">
        <x:is>
          <x:t xml:space="preserve">interpretability</x:t>
        </x:is>
      </x:c>
      <x:c r="BA8" s="12" t="inlineStr">
        <x:is>
          <x:t xml:space="preserve">pre_specified_contrasts_only</x:t>
        </x:is>
      </x:c>
      <x:c r="BE8" s="12" t="inlineStr">
        <x:is>
          <x:t xml:space="preserve">weak split demo</x:t>
        </x:is>
      </x:c>
      <x:c r="BF8" s="8" t="inlineStr">
        <x:is>
          <x:t xml:space="preserve">Intentionally weak split used only to demonstrate inflation risk; not confirmatory evidence.</x:t>
        </x:is>
      </x:c>
    </x:row>
    <x:row r="9">
      <x:c r="A9" s="4" t="inlineStr">
        <x:is>
          <x:t xml:space="preserve">External exploratory</x:t>
        </x:is>
      </x:c>
      <x:c r="C9" s="4" t="inlineStr">
        <x:is>
          <x:t xml:space="preserve">Stage 7 - Exploratory extension</x:t>
        </x:is>
      </x:c>
      <x:c r="AE9" s="4" t="inlineStr">
        <x:is>
          <x:t xml:space="preserve">exploratory_only</x:t>
        </x:is>
      </x:c>
      <x:c r="AF9" s="4" t="inlineStr">
        <x:is>
          <x:t xml:space="preserve">custom_group</x:t>
        </x:is>
      </x:c>
      <x:c r="AG9" s="4" t="inlineStr">
        <x:is>
          <x:t xml:space="preserve">mixed_level</x:t>
        </x:is>
      </x:c>
      <x:c r="AK9" s="4" t="inlineStr">
        <x:is>
          <x:t xml:space="preserve">evaluation</x:t>
        </x:is>
      </x:c>
      <x:c r="BE9" s="4" t="inlineStr">
        <x:is>
          <x:t xml:space="preserve">construct validity</x:t>
        </x:is>
      </x:c>
      <x:c r="BF9" s="3" t="inlineStr">
        <x:is>
          <x:t xml:space="preserve">How well labels/features operationalize intended constructs.</x:t>
        </x:is>
      </x:c>
    </x:row>
    <x:row r="10">
      <x:c r="BE10" s="12" t="inlineStr">
        <x:is>
          <x:t xml:space="preserve">internal validity</x:t>
        </x:is>
      </x:c>
      <x:c r="BF10" s="8" t="inlineStr">
        <x:is>
          <x:t xml:space="preserve">Protection against confounds and leakage in design and execution.</x:t>
        </x:is>
      </x:c>
    </x:row>
    <x:row r="11">
      <x:c r="BE11" s="4" t="inlineStr">
        <x:is>
          <x:t xml:space="preserve">statistical conclusion validity</x:t>
        </x:is>
      </x:c>
      <x:c r="BF11" s="3" t="inlineStr">
        <x:is>
          <x:t xml:space="preserve">Reliability of metric-based inference.</x:t>
        </x:is>
      </x:c>
    </x:row>
    <x:row r="12">
      <x:c r="BE12" s="12" t="inlineStr">
        <x:is>
          <x:t xml:space="preserve">external validity</x:t>
        </x:is>
      </x:c>
      <x:c r="BF12" s="8" t="inlineStr">
        <x:is>
          <x:t xml:space="preserve">Extent findings transfer to other data contexts.</x:t>
        </x:is>
      </x:c>
    </x:row>
    <x:row r="13">
      <x:c r="BE13" s="4" t="inlineStr">
        <x:is>
          <x:t xml:space="preserve">leakage</x:t>
        </x:is>
      </x:c>
      <x:c r="BF13" s="3" t="inlineStr">
        <x:is>
          <x:t xml:space="preserve">Train-test information contamination that inflates apparent performance.</x:t>
        </x:is>
      </x:c>
    </x:row>
    <x:row r="14">
      <x:c r="BE14" s="12" t="inlineStr">
        <x:is>
          <x:t xml:space="preserve">domain shift</x:t>
        </x:is>
      </x:c>
      <x:c r="BF14" s="8" t="inlineStr">
        <x:is>
          <x:t xml:space="preserve">Distribution shift between train and test domains.</x:t>
        </x:is>
      </x:c>
    </x:row>
    <x:row r="15">
      <x:c r="BE15" s="4" t="inlineStr">
        <x:is>
          <x:t xml:space="preserve">interpretability stability</x:t>
        </x:is>
      </x:c>
      <x:c r="BF15" s="3" t="inlineStr">
        <x:is>
          <x:t xml:space="preserve">Consistency of model-behavior explanation signals across folds.</x:t>
        </x:is>
      </x:c>
    </x:row>
  </x:sheetData>
  <x:mergeCells>
    <x:mergeCell ref="A1:BD1"/>
    <x:mergeCell ref="BE1:BF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4" hidden="0" customWidth="1"/>
    <x:col min="3" max="3" width="4" hidden="0" customWidth="1"/>
    <x:col min="4" max="4" width="28" hidden="0" customWidth="1"/>
    <x:col min="5" max="5" width="14" hidden="0" customWidth="1"/>
    <x:col min="6" max="6" width="4" hidden="0" customWidth="1"/>
    <x:col min="7" max="7" width="28" hidden="0" customWidth="1"/>
    <x:col min="8" max="8" width="14" hidden="0" customWidth="1"/>
    <x:col min="9" max="9" width="4" hidden="0" customWidth="1"/>
    <x:col min="10" max="10" width="28" hidden="0" customWidth="1"/>
    <x:col min="11" max="11" width="14" hidden="0" customWidth="1"/>
    <x:col min="12" max="12" width="4" hidden="0" customWidth="1"/>
    <x:col min="13" max="13" width="24" hidden="0" customWidth="1"/>
    <x:col min="14" max="14" width="12" customWidth="1"/>
  </x:cols>
  <x:sheetData>
    <x:row r="1" ht="34.1796875" hidden="0" customHeight="1">
      <x:c r="A1" s="29" t="inlineStr">
        <x:is>
          <x:t xml:space="preserve">Thesis Experiment Program Dashboard (v2)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</x:row>
    <x:row r="2" ht="17.08984375" hidden="0" customHeight="1">
      <x:c r="A2" s="20"/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</x:row>
    <x:row r="3" ht="34.1796875" hidden="0" customHeight="1">
      <x:c r="A3" s="30" t="inlineStr">
        <x:is>
          <x:t xml:space="preserve">Program state summary</x:t>
        </x:is>
      </x:c>
      <x:c r="B3" s="20"/>
      <x:c r="C3" s="20"/>
      <x:c r="D3" s="30" t="inlineStr">
        <x:is>
          <x:t xml:space="preserve">Experiments by category</x:t>
        </x:is>
      </x:c>
      <x:c r="E3" s="20"/>
      <x:c r="F3" s="20"/>
      <x:c r="G3" s="30" t="inlineStr">
        <x:is>
          <x:t xml:space="preserve">Experiments by evidential role</x:t>
        </x:is>
      </x:c>
      <x:c r="H3" s="20"/>
      <x:c r="I3" s="20"/>
      <x:c r="J3" s="30" t="inlineStr">
        <x:is>
          <x:t xml:space="preserve">Experiments by data slice</x:t>
        </x:is>
      </x:c>
      <x:c r="K3" s="20"/>
      <x:c r="L3" s="20"/>
      <x:c r="M3" s="30" t="inlineStr">
        <x:is>
          <x:t xml:space="preserve">Experiments by grouping strategy</x:t>
        </x:is>
      </x:c>
    </x:row>
    <x:row r="4" ht="17.08984375" hidden="0" customHeight="1">
      <x:c r="A4" s="31" t="inlineStr">
        <x:is>
          <x:t xml:space="preserve">Total number of experiments</x:t>
        </x:is>
      </x:c>
      <x:c r="B4" s="31" t="n">
        <x:f>COUNTA(Master_Experiments!$A$2:$A$500)</x:f>
        <x:v>24</x:v>
      </x:c>
      <x:c r="C4" s="20"/>
      <x:c r="D4" s="23" t="str">
        <x:f>Dictionary_Validation!A3</x:f>
        <x:v>Target-definition</x:v>
      </x:c>
      <x:c r="E4" s="23" t="n">
        <x:f>COUNTIF(Master_Experiments!$C:$C,D4)</x:f>
        <x:v>3</x:v>
      </x:c>
      <x:c r="F4" s="20"/>
      <x:c r="G4" s="23" t="str">
        <x:f>Dictionary_Validation!B3</x:f>
        <x:v>Primary confirmatory</x:v>
      </x:c>
      <x:c r="H4" s="23" t="n">
        <x:f>COUNTIF(Master_Experiments!$D:$D,G4)</x:f>
        <x:v>2</x:v>
      </x:c>
      <x:c r="I4" s="20"/>
      <x:c r="J4" s="23" t="str">
        <x:f>IFERROR(Data_Selection_Design!$A2,"")</x:f>
        <x:v>DS01</x:v>
      </x:c>
      <x:c r="K4" s="23" t="n">
        <x:f>IF(J4="",0,IFERROR(SUMPRODUCT((Run_Log!$F$2:$F$2000=J4)*(Run_Log!$B$2:$B$2000&lt;&gt;"")/COUNTIFS(Run_Log!$F$2:$F$2000,J4,Run_Log!$B$2:$B$2000,Run_Log!$B$2:$B$2000)),0))</x:f>
        <x:v>0</x:v>
      </x:c>
      <x:c r="L4" s="20"/>
      <x:c r="M4" s="23" t="str">
        <x:f>IFERROR(Grouping_Strategy_Map!$A2,"")</x:f>
        <x:v>GS01</x:v>
      </x:c>
      <x:c r="N4" s="4" t="n">
        <x:f>IF(M4="",0,IFERROR(SUMPRODUCT((Run_Log!$G$2:$G$2000=M4)*(Run_Log!$B$2:$B$2000&lt;&gt;"")/COUNTIFS(Run_Log!$G$2:$G$2000,M4,Run_Log!$B$2:$B$2000,Run_Log!$B$2:$B$2000)),0))</x:f>
        <x:v>0</x:v>
      </x:c>
    </x:row>
    <x:row r="5" ht="34.1796875" hidden="0" customHeight="1">
      <x:c r="A5" s="23" t="inlineStr">
        <x:is>
          <x:t xml:space="preserve">Completed experiments</x:t>
        </x:is>
      </x:c>
      <x:c r="B5" s="23" t="n">
        <x:f>COUNTIF(Master_Experiments!$AA$2:$AA$500,"Completed")</x:f>
        <x:v>0</x:v>
      </x:c>
      <x:c r="C5" s="20"/>
      <x:c r="D5" s="23" t="str">
        <x:f>Dictionary_Validation!A4</x:f>
        <x:v>Split-design</x:v>
      </x:c>
      <x:c r="E5" s="23" t="n">
        <x:f>COUNTIF(Master_Experiments!$C:$C,D5)</x:f>
        <x:v>2</x:v>
      </x:c>
      <x:c r="F5" s="20"/>
      <x:c r="G5" s="23" t="str">
        <x:f>Dictionary_Validation!B4</x:f>
        <x:v>Primary-supporting robustness</x:v>
      </x:c>
      <x:c r="H5" s="23" t="n">
        <x:f>COUNTIF(Master_Experiments!$D:$D,G5)</x:f>
        <x:v>8</x:v>
      </x:c>
      <x:c r="I5" s="20"/>
      <x:c r="J5" s="23" t="str">
        <x:f>IFERROR(Data_Selection_Design!$A3,"")</x:f>
        <x:v>DS02</x:v>
      </x:c>
      <x:c r="K5" s="23" t="n">
        <x:f>IF(J5="",0,IFERROR(SUMPRODUCT((Run_Log!$F$2:$F$2000=J5)*(Run_Log!$B$2:$B$2000&lt;&gt;"")/COUNTIFS(Run_Log!$F$2:$F$2000,J5,Run_Log!$B$2:$B$2000,Run_Log!$B$2:$B$2000)),0))</x:f>
        <x:v>0</x:v>
      </x:c>
      <x:c r="L5" s="20"/>
      <x:c r="M5" s="23" t="str">
        <x:f>IFERROR(Grouping_Strategy_Map!$A3,"")</x:f>
        <x:v>GS02</x:v>
      </x:c>
      <x:c r="N5" s="4" t="n">
        <x:f>IF(M5="",0,IFERROR(SUMPRODUCT((Run_Log!$G$2:$G$2000=M5)*(Run_Log!$B$2:$B$2000&lt;&gt;"")/COUNTIFS(Run_Log!$G$2:$G$2000,M5,Run_Log!$B$2:$B$2000,Run_Log!$B$2:$B$2000)),0))</x:f>
        <x:v>0</x:v>
      </x:c>
    </x:row>
    <x:row r="6" ht="34.1796875" hidden="0" customHeight="1">
      <x:c r="A6" s="31" t="inlineStr">
        <x:is>
          <x:t xml:space="preserve">Critical experiments completed</x:t>
        </x:is>
      </x:c>
      <x:c r="B6" s="31" t="n">
        <x:f>COUNTIFS(Master_Experiments!$F$2:$F$500,"Critical",Master_Experiments!$AA$2:$AA$500,"Completed")</x:f>
        <x:v>0</x:v>
      </x:c>
      <x:c r="C6" s="20"/>
      <x:c r="D6" s="23" t="str">
        <x:f>Dictionary_Validation!A5</x:f>
        <x:v>Model-comparison</x:v>
      </x:c>
      <x:c r="E6" s="23" t="n">
        <x:f>COUNTIF(Master_Experiments!$C:$C,D6)</x:f>
        <x:v>3</x:v>
      </x:c>
      <x:c r="F6" s="20"/>
      <x:c r="G6" s="23" t="str">
        <x:f>Dictionary_Validation!B5</x:f>
        <x:v>Secondary decision-support</x:v>
      </x:c>
      <x:c r="H6" s="23" t="n">
        <x:f>COUNTIF(Master_Experiments!$D:$D,G6)</x:f>
        <x:v>11</x:v>
      </x:c>
      <x:c r="I6" s="20"/>
      <x:c r="J6" s="23" t="str">
        <x:f>IFERROR(Data_Selection_Design!$A4,"")</x:f>
        <x:v>DS03</x:v>
      </x:c>
      <x:c r="K6" s="23" t="n">
        <x:f>IF(J6="",0,IFERROR(SUMPRODUCT((Run_Log!$F$2:$F$2000=J6)*(Run_Log!$B$2:$B$2000&lt;&gt;"")/COUNTIFS(Run_Log!$F$2:$F$2000,J6,Run_Log!$B$2:$B$2000,Run_Log!$B$2:$B$2000)),0))</x:f>
        <x:v>0</x:v>
      </x:c>
      <x:c r="L6" s="20"/>
      <x:c r="M6" s="23" t="str">
        <x:f>IFERROR(Grouping_Strategy_Map!$A4,"")</x:f>
        <x:v>GS03</x:v>
      </x:c>
      <x:c r="N6" s="4" t="n">
        <x:f>IF(M6="",0,IFERROR(SUMPRODUCT((Run_Log!$G$2:$G$2000=M6)*(Run_Log!$B$2:$B$2000&lt;&gt;"")/COUNTIFS(Run_Log!$G$2:$G$2000,M6,Run_Log!$B$2:$B$2000,Run_Log!$B$2:$B$2000)),0))</x:f>
        <x:v>0</x:v>
      </x:c>
    </x:row>
    <x:row r="7" ht="51.26953125" hidden="0" customHeight="1">
      <x:c r="A7" s="23" t="inlineStr">
        <x:is>
          <x:t xml:space="preserve">Open decisions</x:t>
        </x:is>
      </x:c>
      <x:c r="B7" s="23" t="n">
        <x:f>COUNTIF(Decision_Log!$M$2:$M$500,"Open")</x:f>
        <x:v>11</x:v>
      </x:c>
      <x:c r="C7" s="20"/>
      <x:c r="D7" s="23" t="str">
        <x:f>Dictionary_Validation!A6</x:f>
        <x:v>Preprocessing-feature</x:v>
      </x:c>
      <x:c r="E7" s="23" t="n">
        <x:f>COUNTIF(Master_Experiments!$C:$C,D7)</x:f>
        <x:v>3</x:v>
      </x:c>
      <x:c r="F7" s="20"/>
      <x:c r="G7" s="23" t="str">
        <x:f>Dictionary_Validation!B6</x:f>
        <x:v>Secondary decision-support / robustness</x:v>
      </x:c>
      <x:c r="H7" s="23" t="n">
        <x:f>COUNTIF(Master_Experiments!$D:$D,G7)</x:f>
        <x:v>1</x:v>
      </x:c>
      <x:c r="I7" s="20"/>
      <x:c r="J7" s="23" t="str">
        <x:f>IFERROR(Data_Selection_Design!$A5,"")</x:f>
        <x:v>DS04</x:v>
      </x:c>
      <x:c r="K7" s="23" t="n">
        <x:f>IF(J7="",0,IFERROR(SUMPRODUCT((Run_Log!$F$2:$F$2000=J7)*(Run_Log!$B$2:$B$2000&lt;&gt;"")/COUNTIFS(Run_Log!$F$2:$F$2000,J7,Run_Log!$B$2:$B$2000,Run_Log!$B$2:$B$2000)),0))</x:f>
        <x:v>0</x:v>
      </x:c>
      <x:c r="L7" s="20"/>
      <x:c r="M7" s="23" t="str">
        <x:f>IFERROR(Grouping_Strategy_Map!$A5,"")</x:f>
        <x:v>GS04</x:v>
      </x:c>
      <x:c r="N7" s="4" t="n">
        <x:f>IF(M7="",0,IFERROR(SUMPRODUCT((Run_Log!$G$2:$G$2000=M7)*(Run_Log!$B$2:$B$2000&lt;&gt;"")/COUNTIFS(Run_Log!$G$2:$G$2000,M7,Run_Log!$B$2:$B$2000,Run_Log!$B$2:$B$2000)),0))</x:f>
        <x:v>0</x:v>
      </x:c>
    </x:row>
    <x:row r="8" ht="17.08984375" hidden="0" customHeight="1">
      <x:c r="A8" s="31" t="inlineStr">
        <x:is>
          <x:t xml:space="preserve">Locked decisions</x:t>
        </x:is>
      </x:c>
      <x:c r="B8" s="31" t="n">
        <x:f>COUNTIF(Decision_Log!$M$2:$M$500,"Locked")</x:f>
        <x:v>0</x:v>
      </x:c>
      <x:c r="C8" s="20"/>
      <x:c r="D8" s="23" t="str">
        <x:f>Dictionary_Validation!A7</x:f>
        <x:v>Robustness</x:v>
      </x:c>
      <x:c r="E8" s="23" t="n">
        <x:f>COUNTIF(Master_Experiments!$C:$C,D8)</x:f>
        <x:v>9</x:v>
      </x:c>
      <x:c r="F8" s="20"/>
      <x:c r="G8" s="23" t="str">
        <x:f>Dictionary_Validation!B7</x:f>
        <x:v>Exploratory extension</x:v>
      </x:c>
      <x:c r="H8" s="23" t="n">
        <x:f>COUNTIF(Master_Experiments!$D:$D,G8)</x:f>
        <x:v>2</x:v>
      </x:c>
      <x:c r="I8" s="20"/>
      <x:c r="J8" s="23" t="str">
        <x:f>IFERROR(Data_Selection_Design!$A6,"")</x:f>
        <x:v>DS05</x:v>
      </x:c>
      <x:c r="K8" s="23" t="n">
        <x:f>IF(J8="",0,IFERROR(SUMPRODUCT((Run_Log!$F$2:$F$2000=J8)*(Run_Log!$B$2:$B$2000&lt;&gt;"")/COUNTIFS(Run_Log!$F$2:$F$2000,J8,Run_Log!$B$2:$B$2000,Run_Log!$B$2:$B$2000)),0))</x:f>
        <x:v>0</x:v>
      </x:c>
      <x:c r="L8" s="20"/>
      <x:c r="M8" s="23" t="str">
        <x:f>IFERROR(Grouping_Strategy_Map!$A6,"")</x:f>
        <x:v>GS05</x:v>
      </x:c>
      <x:c r="N8" s="4" t="n">
        <x:f>IF(M8="",0,IFERROR(SUMPRODUCT((Run_Log!$G$2:$G$2000=M8)*(Run_Log!$B$2:$B$2000&lt;&gt;"")/COUNTIFS(Run_Log!$G$2:$G$2000,M8,Run_Log!$B$2:$B$2000,Run_Log!$B$2:$B$2000)),0))</x:f>
        <x:v>0</x:v>
      </x:c>
    </x:row>
    <x:row r="9" ht="17.08984375" hidden="0" customHeight="1">
      <x:c r="A9" s="23" t="inlineStr">
        <x:is>
          <x:t xml:space="preserve">Target locked?</x:t>
        </x:is>
      </x:c>
      <x:c r="B9" s="23" t="str">
        <x:f>IF(COUNTIFS(Decision_Log!$A:$A,"D01",Decision_Log!$M:$M,"Locked")&gt;0,"YES","NO")</x:f>
        <x:v>NO</x:v>
      </x:c>
      <x:c r="C9" s="20"/>
      <x:c r="D9" s="23" t="str">
        <x:f>Dictionary_Validation!A8</x:f>
        <x:v>Confirmatory core</x:v>
      </x:c>
      <x:c r="E9" s="23" t="n">
        <x:f>COUNTIF(Master_Experiments!$C:$C,D9)</x:f>
        <x:v>2</x:v>
      </x:c>
      <x:c r="F9" s="20"/>
      <x:c r="G9" s="20"/>
      <x:c r="H9" s="20"/>
      <x:c r="I9" s="20"/>
      <x:c r="J9" s="23" t="str">
        <x:f>IFERROR(Data_Selection_Design!$A7,"")</x:f>
        <x:v>DS06</x:v>
      </x:c>
      <x:c r="K9" s="23" t="n">
        <x:f>IF(J9="",0,IFERROR(SUMPRODUCT((Run_Log!$F$2:$F$2000=J9)*(Run_Log!$B$2:$B$2000&lt;&gt;"")/COUNTIFS(Run_Log!$F$2:$F$2000,J9,Run_Log!$B$2:$B$2000,Run_Log!$B$2:$B$2000)),0))</x:f>
        <x:v>0</x:v>
      </x:c>
      <x:c r="L9" s="20"/>
      <x:c r="M9" s="23" t="str">
        <x:f>IFERROR(Grouping_Strategy_Map!$A7,"")</x:f>
        <x:v>GS06</x:v>
      </x:c>
      <x:c r="N9" s="4" t="n">
        <x:f>IF(M9="",0,IFERROR(SUMPRODUCT((Run_Log!$G$2:$G$2000=M9)*(Run_Log!$B$2:$B$2000&lt;&gt;"")/COUNTIFS(Run_Log!$G$2:$G$2000,M9,Run_Log!$B$2:$B$2000,Run_Log!$B$2:$B$2000)),0))</x:f>
        <x:v>0</x:v>
      </x:c>
    </x:row>
    <x:row r="10" ht="17.08984375" hidden="0" customHeight="1">
      <x:c r="A10" s="31" t="inlineStr">
        <x:is>
          <x:t xml:space="preserve">Split locked?</x:t>
        </x:is>
      </x:c>
      <x:c r="B10" s="31" t="str">
        <x:f>IF(COUNTIFS(Decision_Log!$A:$A,"D02",Decision_Log!$M:$M,"Locked")&gt;0,"YES","NO")</x:f>
        <x:v>NO</x:v>
      </x:c>
      <x:c r="C10" s="20"/>
      <x:c r="D10" s="23" t="str">
        <x:f>Dictionary_Validation!A9</x:f>
        <x:v>External exploratory</x:v>
      </x:c>
      <x:c r="E10" s="23" t="n">
        <x:f>COUNTIF(Master_Experiments!$C:$C,D10)</x:f>
        <x:v>2</x:v>
      </x:c>
      <x:c r="F10" s="20"/>
      <x:c r="G10" s="20"/>
      <x:c r="H10" s="20"/>
      <x:c r="I10" s="20"/>
      <x:c r="J10" s="23" t="str">
        <x:f>IFERROR(Data_Selection_Design!$A8,"")</x:f>
        <x:v>DS07</x:v>
      </x:c>
      <x:c r="K10" s="23" t="n">
        <x:f>IF(J10="",0,IFERROR(SUMPRODUCT((Run_Log!$F$2:$F$2000=J10)*(Run_Log!$B$2:$B$2000&lt;&gt;"")/COUNTIFS(Run_Log!$F$2:$F$2000,J10,Run_Log!$B$2:$B$2000,Run_Log!$B$2:$B$2000)),0))</x:f>
        <x:v>0</x:v>
      </x:c>
      <x:c r="L10" s="20"/>
      <x:c r="M10" s="23" t="str">
        <x:f>IFERROR(Grouping_Strategy_Map!$A8,"")</x:f>
        <x:v>GS07</x:v>
      </x:c>
      <x:c r="N10" s="4" t="n">
        <x:f>IF(M10="",0,IFERROR(SUMPRODUCT((Run_Log!$G$2:$G$2000=M10)*(Run_Log!$B$2:$B$2000&lt;&gt;"")/COUNTIFS(Run_Log!$G$2:$G$2000,M10,Run_Log!$B$2:$B$2000,Run_Log!$B$2:$B$2000)),0))</x:f>
        <x:v>0</x:v>
      </x:c>
    </x:row>
    <x:row r="11" ht="17.08984375" hidden="0" customHeight="1">
      <x:c r="A11" s="23" t="inlineStr">
        <x:is>
          <x:t xml:space="preserve">Model locked?</x:t>
        </x:is>
      </x:c>
      <x:c r="B11" s="23" t="str">
        <x:f>IF(AND(COUNTIFS(Decision_Log!$A:$A,"D03",Decision_Log!$M:$M,"Locked")&gt;0,COUNTIFS(Decision_Log!$A:$A,"D04",Decision_Log!$M:$M,"Locked")&gt;0,COUNTIFS(Decision_Log!$A:$A,"D05",Decision_Log!$M:$M,"Locked")&gt;0),"YES","NO")</x:f>
        <x:v>NO</x:v>
      </x:c>
      <x:c r="C11" s="20"/>
      <x:c r="D11" s="20"/>
      <x:c r="E11" s="20"/>
      <x:c r="F11" s="20"/>
      <x:c r="G11" s="20"/>
      <x:c r="H11" s="20"/>
      <x:c r="I11" s="20"/>
      <x:c r="J11" s="23" t="str">
        <x:f>IFERROR(Data_Selection_Design!$A9,"")</x:f>
        <x:v>DS08</x:v>
      </x:c>
      <x:c r="K11" s="23" t="n">
        <x:f>IF(J11="",0,IFERROR(SUMPRODUCT((Run_Log!$F$2:$F$2000=J11)*(Run_Log!$B$2:$B$2000&lt;&gt;"")/COUNTIFS(Run_Log!$F$2:$F$2000,J11,Run_Log!$B$2:$B$2000,Run_Log!$B$2:$B$2000)),0))</x:f>
        <x:v>0</x:v>
      </x:c>
      <x:c r="L11" s="20"/>
      <x:c r="M11" s="23" t="str">
        <x:f>IFERROR(Grouping_Strategy_Map!$A9,"")</x:f>
        <x:v>GS08</x:v>
      </x:c>
      <x:c r="N11" s="4" t="n">
        <x:f>IF(M11="",0,IFERROR(SUMPRODUCT((Run_Log!$G$2:$G$2000=M11)*(Run_Log!$B$2:$B$2000&lt;&gt;"")/COUNTIFS(Run_Log!$G$2:$G$2000,M11,Run_Log!$B$2:$B$2000,Run_Log!$B$2:$B$2000)),0))</x:f>
        <x:v>0</x:v>
      </x:c>
    </x:row>
    <x:row r="12" ht="17.08984375" hidden="0" customHeight="1">
      <x:c r="A12" s="31" t="inlineStr">
        <x:is>
          <x:t xml:space="preserve">Feature/preprocessing locked?</x:t>
        </x:is>
      </x:c>
      <x:c r="B12" s="31" t="str">
        <x:f>IF(AND(COUNTIFS(Decision_Log!$A:$A,"D06",Decision_Log!$M:$M,"Locked")&gt;0,COUNTIFS(Decision_Log!$A:$A,"D07",Decision_Log!$M:$M,"Locked")&gt;0),"YES","NO")</x:f>
        <x:v>NO</x:v>
      </x:c>
      <x:c r="C12" s="20"/>
      <x:c r="D12" s="20"/>
      <x:c r="E12" s="20"/>
      <x:c r="F12" s="20"/>
      <x:c r="G12" s="20"/>
      <x:c r="H12" s="20"/>
      <x:c r="I12" s="20"/>
      <x:c r="J12" s="23" t="str">
        <x:f>IFERROR(Data_Selection_Design!$A10,"")</x:f>
        <x:v>DS09</x:v>
      </x:c>
      <x:c r="K12" s="23" t="n">
        <x:f>IF(J12="",0,IFERROR(SUMPRODUCT((Run_Log!$F$2:$F$2000=J12)*(Run_Log!$B$2:$B$2000&lt;&gt;"")/COUNTIFS(Run_Log!$F$2:$F$2000,J12,Run_Log!$B$2:$B$2000,Run_Log!$B$2:$B$2000)),0))</x:f>
        <x:v>0</x:v>
      </x:c>
      <x:c r="L12" s="20"/>
      <x:c r="M12" s="23" t="str">
        <x:f>IFERROR(Grouping_Strategy_Map!$A10,"")</x:f>
        <x:v>GS09</x:v>
      </x:c>
      <x:c r="N12" s="4" t="n">
        <x:f>IF(M12="",0,IFERROR(SUMPRODUCT((Run_Log!$G$2:$G$2000=M12)*(Run_Log!$B$2:$B$2000&lt;&gt;"")/COUNTIFS(Run_Log!$G$2:$G$2000,M12,Run_Log!$B$2:$B$2000,Run_Log!$B$2:$B$2000)),0))</x:f>
        <x:v>0</x:v>
      </x:c>
    </x:row>
    <x:row r="13" ht="34.1796875" hidden="0" customHeight="1">
      <x:c r="A13" s="23" t="inlineStr">
        <x:is>
          <x:t xml:space="preserve">Confirmatory eligibility achieved?</x:t>
        </x:is>
      </x:c>
      <x:c r="B13" s="23" t="str">
        <x:f>IF(COUNTIFS(Confirmatory_Set!$J:$J,"YES")=COUNTIFS(Confirmatory_Set!$A:$A,"&lt;&gt;"),"YES","NO")</x:f>
        <x:v>NO</x:v>
      </x:c>
      <x:c r="C13" s="20"/>
      <x:c r="D13" s="20"/>
      <x:c r="E13" s="20"/>
      <x:c r="F13" s="20"/>
      <x:c r="G13" s="20"/>
      <x:c r="H13" s="20"/>
      <x:c r="I13" s="20"/>
      <x:c r="J13" s="23" t="str">
        <x:f>IFERROR(Data_Selection_Design!$A11,"")</x:f>
        <x:v>DS10</x:v>
      </x:c>
      <x:c r="K13" s="23" t="n">
        <x:f>IF(J13="",0,IFERROR(SUMPRODUCT((Run_Log!$F$2:$F$2000=J13)*(Run_Log!$B$2:$B$2000&lt;&gt;"")/COUNTIFS(Run_Log!$F$2:$F$2000,J13,Run_Log!$B$2:$B$2000,Run_Log!$B$2:$B$2000)),0))</x:f>
        <x:v>0</x:v>
      </x:c>
      <x:c r="L13" s="20"/>
      <x:c r="M13" s="23" t="str">
        <x:f>IFERROR(Grouping_Strategy_Map!$A11,"")</x:f>
        <x:v>GS10</x:v>
      </x:c>
      <x:c r="N13" s="4" t="n">
        <x:f>IF(M13="",0,IFERROR(SUMPRODUCT((Run_Log!$G$2:$G$2000=M13)*(Run_Log!$B$2:$B$2000&lt;&gt;"")/COUNTIFS(Run_Log!$G$2:$G$2000,M13,Run_Log!$B$2:$B$2000,Run_Log!$B$2:$B$2000)),0))</x:f>
        <x:v>0</x:v>
      </x:c>
    </x:row>
    <x:row r="14" ht="34.1796875" hidden="0" customHeight="1">
      <x:c r="A14" s="31" t="inlineStr">
        <x:is>
          <x:t xml:space="preserve">Confirmatory ready for Chapter 4?</x:t>
        </x:is>
      </x:c>
      <x:c r="B14" s="31" t="str">
        <x:f>IF(AND(B13="YES",COUNTIFS(Confirmatory_Set!$H:$H,"YES",Confirmatory_Set!$G:$G,"YES",Confirmatory_Set!$I:$I,"YES")=COUNTIFS(Confirmatory_Set!$H:$H,"YES")),"YES","NO")</x:f>
        <x:v>NO</x:v>
      </x:c>
      <x:c r="C14" s="20"/>
      <x:c r="D14" s="20"/>
      <x:c r="E14" s="20"/>
      <x:c r="F14" s="20"/>
      <x:c r="G14" s="20"/>
      <x:c r="H14" s="20"/>
      <x:c r="I14" s="20"/>
      <x:c r="J14" s="23" t="str">
        <x:f>IFERROR(Data_Selection_Design!$A12,"")</x:f>
        <x:v>DS11</x:v>
      </x:c>
      <x:c r="K14" s="23" t="n">
        <x:f>IF(J14="",0,IFERROR(SUMPRODUCT((Run_Log!$F$2:$F$2000=J14)*(Run_Log!$B$2:$B$2000&lt;&gt;"")/COUNTIFS(Run_Log!$F$2:$F$2000,J14,Run_Log!$B$2:$B$2000,Run_Log!$B$2:$B$2000)),0))</x:f>
        <x:v>0</x:v>
      </x:c>
      <x:c r="L14" s="20"/>
      <x:c r="M14" s="23" t="str">
        <x:f>IFERROR(Grouping_Strategy_Map!$A12,"")</x:f>
        <x:v>GS11</x:v>
      </x:c>
      <x:c r="N14" s="4" t="n">
        <x:f>IF(M14="",0,IFERROR(SUMPRODUCT((Run_Log!$G$2:$G$2000=M14)*(Run_Log!$B$2:$B$2000&lt;&gt;"")/COUNTIFS(Run_Log!$G$2:$G$2000,M14,Run_Log!$B$2:$B$2000,Run_Log!$B$2:$B$2000)),0))</x:f>
        <x:v>0</x:v>
      </x:c>
    </x:row>
    <x:row r="15" ht="34.1796875" hidden="0" customHeight="1">
      <x:c r="A15" s="23" t="inlineStr">
        <x:is>
          <x:t xml:space="preserve">Experiments mapped to Chapter 4 main results</x:t>
        </x:is>
      </x:c>
      <x:c r="B15" s="23" t="n">
        <x:f>COUNTIFS(Thesis_Map!$B$2:$B$500,"Chapter 4",Thesis_Map!$E$2:$E$500,"Main")</x:f>
        <x:v>2</x:v>
      </x:c>
      <x:c r="C15" s="20"/>
      <x:c r="D15" s="20"/>
      <x:c r="E15" s="20"/>
      <x:c r="F15" s="20"/>
      <x:c r="G15" s="20"/>
      <x:c r="H15" s="20"/>
      <x:c r="I15" s="20"/>
      <x:c r="J15" s="23" t="str">
        <x:f>IFERROR(Data_Selection_Design!$A13,"")</x:f>
        <x:v>DS12</x:v>
      </x:c>
      <x:c r="K15" s="23" t="n">
        <x:f>IF(J15="",0,IFERROR(SUMPRODUCT((Run_Log!$F$2:$F$2000=J15)*(Run_Log!$B$2:$B$2000&lt;&gt;"")/COUNTIFS(Run_Log!$F$2:$F$2000,J15,Run_Log!$B$2:$B$2000,Run_Log!$B$2:$B$2000)),0))</x:f>
        <x:v>0</x:v>
      </x:c>
      <x:c r="L15" s="20"/>
      <x:c r="M15" s="23" t="str">
        <x:f>IFERROR(Grouping_Strategy_Map!$A13,"")</x:f>
        <x:v>GS12</x:v>
      </x:c>
      <x:c r="N15" s="4" t="n">
        <x:f>IF(M15="",0,IFERROR(SUMPRODUCT((Run_Log!$G$2:$G$2000=M15)*(Run_Log!$B$2:$B$2000&lt;&gt;"")/COUNTIFS(Run_Log!$G$2:$G$2000,M15,Run_Log!$B$2:$B$2000,Run_Log!$B$2:$B$2000)),0))</x:f>
        <x:v>0</x:v>
      </x:c>
    </x:row>
    <x:row r="16" ht="34.1796875" hidden="0" customHeight="1">
      <x:c r="A16" s="31" t="inlineStr">
        <x:is>
          <x:t xml:space="preserve">Experiments mapped only to Appendix</x:t>
        </x:is>
      </x:c>
      <x:c r="B16" s="31" t="n">
        <x:f>COUNTIF(Thesis_Map!$B$2:$B$500,"Appendix")</x:f>
        <x:v>3</x:v>
      </x:c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  <x:c r="M16" s="20"/>
    </x:row>
    <x:row r="17" ht="34.1796875" hidden="0" customHeight="1">
      <x:c r="A17" s="23" t="inlineStr">
        <x:is>
          <x:t xml:space="preserve">Claims with Evidence_Status = supported</x:t>
        </x:is>
      </x:c>
      <x:c r="B17" s="23" t="n">
        <x:f>COUNTIF(Claim_Ledger!$E$2:$E$500,"supported")</x:f>
        <x:v>0</x:v>
      </x:c>
      <x:c r="C17" s="20"/>
      <x:c r="D17" s="30" t="inlineStr">
        <x:is>
          <x:t xml:space="preserve">Quick comparison counts (run-level)</x:t>
        </x:is>
      </x:c>
      <x:c r="E17" s="20"/>
      <x:c r="F17" s="20"/>
      <x:c r="G17" s="20"/>
      <x:c r="H17" s="20"/>
      <x:c r="I17" s="20"/>
      <x:c r="J17" s="20"/>
      <x:c r="K17" s="20"/>
      <x:c r="L17" s="20"/>
      <x:c r="M17" s="20"/>
    </x:row>
    <x:row r="18" ht="34.1796875" hidden="0" customHeight="1">
      <x:c r="A18" s="31" t="inlineStr">
        <x:is>
          <x:t xml:space="preserve">Claims with Evidence_Status = partial</x:t>
        </x:is>
      </x:c>
      <x:c r="B18" s="31" t="n">
        <x:f>COUNTIF(Claim_Ledger!$E$2:$E$500,"partial")</x:f>
        <x:v>1</x:v>
      </x:c>
      <x:c r="C18" s="20"/>
      <x:c r="D18" s="31" t="inlineStr">
        <x:is>
          <x:t xml:space="preserve">Pooled task runs</x:t>
        </x:is>
      </x:c>
      <x:c r="E18" s="31" t="n">
        <x:f>COUNTIF(Run_Log!$Q$2:$Q$2000,"pooled_all_tasks")</x:f>
        <x:v>0</x:v>
      </x:c>
      <x:c r="F18" s="20"/>
      <x:c r="G18" s="20"/>
      <x:c r="H18" s="20"/>
      <x:c r="I18" s="20"/>
      <x:c r="J18" s="20"/>
      <x:c r="K18" s="20"/>
      <x:c r="L18" s="20"/>
      <x:c r="M18" s="20"/>
    </x:row>
    <x:row r="19" ht="34.1796875" hidden="0" customHeight="1">
      <x:c r="A19" s="23" t="inlineStr">
        <x:is>
          <x:t xml:space="preserve">Claims with Evidence_Status = open</x:t>
        </x:is>
      </x:c>
      <x:c r="B19" s="23" t="n">
        <x:f>COUNTIF(Claim_Ledger!$E$2:$E$500,"open")</x:f>
        <x:v>5</x:v>
      </x:c>
      <x:c r="C19" s="20"/>
      <x:c r="D19" s="23" t="inlineStr">
        <x:is>
          <x:t xml:space="preserve">Task-specific runs</x:t>
        </x:is>
      </x:c>
      <x:c r="E19" s="23" t="n">
        <x:f>COUNTIFS(Run_Log!$Q$2:$Q$2000,"&lt;&gt;",Run_Log!$Q$2:$Q$2000,"&lt;&gt;pooled_all_tasks")</x:f>
        <x:v>0</x:v>
      </x:c>
      <x:c r="F19" s="20"/>
      <x:c r="G19" s="20"/>
      <x:c r="H19" s="20"/>
      <x:c r="I19" s="20"/>
      <x:c r="J19" s="20"/>
      <x:c r="K19" s="20"/>
      <x:c r="L19" s="20"/>
      <x:c r="M19" s="20"/>
    </x:row>
    <x:row r="20" ht="17.08984375" hidden="0" customHeight="1">
      <x:c r="A20" s="31" t="inlineStr">
        <x:is>
          <x:t xml:space="preserve">AI log entries</x:t>
        </x:is>
      </x:c>
      <x:c r="B20" s="31" t="n">
        <x:f>COUNTA(AI_Usage_Log!$A$2:$A$500)</x:f>
        <x:v>2</x:v>
      </x:c>
      <x:c r="C20" s="20"/>
      <x:c r="D20" s="31" t="inlineStr">
        <x:is>
          <x:t xml:space="preserve">Pooled modality runs</x:t>
        </x:is>
      </x:c>
      <x:c r="E20" s="31" t="n">
        <x:f>COUNTIF(Run_Log!$R$2:$R$2000,"pooled_all_modalities")</x:f>
        <x:v>0</x:v>
      </x:c>
      <x:c r="F20" s="20"/>
      <x:c r="G20" s="20"/>
      <x:c r="H20" s="20"/>
      <x:c r="I20" s="20"/>
      <x:c r="J20" s="20"/>
      <x:c r="K20" s="20"/>
      <x:c r="L20" s="20"/>
      <x:c r="M20" s="20"/>
    </x:row>
    <x:row r="21" ht="17.08984375" hidden="0" customHeight="1">
      <x:c r="A21" s="23" t="inlineStr">
        <x:is>
          <x:t xml:space="preserve">Open ethics/governance notes</x:t>
        </x:is>
      </x:c>
      <x:c r="B21" s="23" t="n">
        <x:f>COUNTIF(Ethics_Governance_Notes!$G$2:$G$500,"Open")</x:f>
        <x:v>6</x:v>
      </x:c>
      <x:c r="C21" s="20"/>
      <x:c r="D21" s="23" t="inlineStr">
        <x:is>
          <x:t xml:space="preserve">Modality-specific runs</x:t>
        </x:is>
      </x:c>
      <x:c r="E21" s="23" t="n">
        <x:f>COUNTIFS(Run_Log!$R$2:$R$2000,"&lt;&gt;",Run_Log!$R$2:$R$2000,"&lt;&gt;pooled_all_modalities")</x:f>
        <x:v>0</x:v>
      </x:c>
      <x:c r="F21" s="20"/>
      <x:c r="G21" s="20"/>
      <x:c r="H21" s="20"/>
      <x:c r="I21" s="20"/>
      <x:c r="J21" s="20"/>
      <x:c r="K21" s="20"/>
      <x:c r="L21" s="20"/>
      <x:c r="M21" s="20"/>
    </x:row>
    <x:row r="22" ht="34.1796875" hidden="0" customHeight="1">
      <x:c r="A22" s="31" t="inlineStr">
        <x:is>
          <x:t xml:space="preserve">Runs flagged with imbalance warning</x:t>
        </x:is>
      </x:c>
      <x:c r="B22" s="31" t="n">
        <x:f>COUNTIFS(Run_Log!$Z$2:$Z$2000,"mild_imbalance")+COUNTIFS(Run_Log!$Z$2:$Z$2000,"severe_imbalance")</x:f>
        <x:v>0</x:v>
      </x:c>
      <x:c r="C22" s="20"/>
      <x:c r="D22" s="31" t="inlineStr">
        <x:is>
          <x:t xml:space="preserve">Within-person runs</x:t>
        </x:is>
      </x:c>
      <x:c r="E22" s="31" t="n">
        <x:f>SUMPRODUCT((Grouping_Strategy_Map!$C$2:$C$200="within_subject")*COUNTIF(Run_Log!$G$2:$G$2000,Grouping_Strategy_Map!$A$2:$A$200))</x:f>
        <x:v>0</x:v>
      </x:c>
      <x:c r="F22" s="20"/>
      <x:c r="G22" s="20"/>
      <x:c r="H22" s="20"/>
      <x:c r="I22" s="20"/>
      <x:c r="J22" s="20"/>
      <x:c r="K22" s="20"/>
      <x:c r="L22" s="20"/>
      <x:c r="M22" s="20"/>
    </x:row>
    <x:row r="23" ht="34.1796875" hidden="0" customHeight="1">
      <x:c r="A23" s="23" t="inlineStr">
        <x:is>
          <x:t xml:space="preserve">Runs flagged with leakage warning/fail</x:t>
        </x:is>
      </x:c>
      <x:c r="B23" s="23" t="n">
        <x:f>COUNTIFS(Run_Log!$AA$2:$AA$2000,"warning")+COUNTIFS(Run_Log!$AA$2:$AA$2000,"failed")</x:f>
        <x:v>0</x:v>
      </x:c>
      <x:c r="C23" s="20"/>
      <x:c r="D23" s="23" t="inlineStr">
        <x:is>
          <x:t xml:space="preserve">Cross-person runs</x:t>
        </x:is>
      </x:c>
      <x:c r="E23" s="23" t="n">
        <x:f>SUMPRODUCT((Grouping_Strategy_Map!$C$2:$C$200="cross_person")*COUNTIF(Run_Log!$G$2:$G$2000,Grouping_Strategy_Map!$A$2:$A$200))</x:f>
        <x:v>0</x:v>
      </x:c>
      <x:c r="F23" s="20"/>
      <x:c r="G23" s="20"/>
      <x:c r="H23" s="20"/>
      <x:c r="I23" s="20"/>
      <x:c r="J23" s="20"/>
      <x:c r="K23" s="20"/>
      <x:c r="L23" s="20"/>
      <x:c r="M23" s="20"/>
    </x:row>
    <x:row r="24" ht="34.1796875" hidden="0" customHeight="1">
      <x:c r="A24" s="31" t="inlineStr">
        <x:is>
          <x:t xml:space="preserve">Distinct data slices used in Run_Log</x:t>
        </x:is>
      </x:c>
      <x:c r="B24" s="31" t="n">
        <x:f>IF(COUNTA(Run_Log!$F$2:$F$2000)=0,0,SUMPRODUCT((Run_Log!$F$2:$F$2000&lt;&gt;"")/COUNTIF(Run_Log!$F$2:$F$2000,Run_Log!$F$2:$F$2000&amp;"")))</x:f>
        <x:v>0</x:v>
      </x:c>
      <x:c r="C24" s="20"/>
      <x:c r="D24" s="31" t="inlineStr">
        <x:is>
          <x:t xml:space="preserve">Temporal split runs</x:t>
        </x:is>
      </x:c>
      <x:c r="E24" s="31" t="n">
        <x:f>SUMPRODUCT((Grouping_Strategy_Map!$C$2:$C$200="temporal")*COUNTIF(Run_Log!$G$2:$G$2000,Grouping_Strategy_Map!$A$2:$A$200))</x:f>
        <x:v>0</x:v>
      </x:c>
      <x:c r="F24" s="20"/>
      <x:c r="G24" s="20"/>
      <x:c r="H24" s="20"/>
      <x:c r="I24" s="20"/>
      <x:c r="J24" s="20"/>
      <x:c r="K24" s="20"/>
      <x:c r="L24" s="20"/>
      <x:c r="M24" s="20"/>
    </x:row>
    <x:row r="25" ht="34.1796875" hidden="0" customHeight="1">
      <x:c r="A25" s="23" t="inlineStr">
        <x:is>
          <x:t xml:space="preserve">Distinct grouping strategies used in Run_Log</x:t>
        </x:is>
      </x:c>
      <x:c r="B25" s="23" t="n">
        <x:f>IF(COUNTA(Run_Log!$G$2:$G$2000)=0,0,SUMPRODUCT((Run_Log!$G$2:$G$2000&lt;&gt;"")/COUNTIF(Run_Log!$G$2:$G$2000,Run_Log!$G$2:$G$2000&amp;"")))</x:f>
        <x:v>0</x:v>
      </x:c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  <x:c r="M25" s="20"/>
    </x:row>
    <x:row r="26" ht="34.1796875" hidden="0" customHeight="1">
      <x:c r="A26" s="31" t="inlineStr">
        <x:is>
          <x:t xml:space="preserve">Runs with Data_Slice_ID recorded</x:t>
        </x:is>
      </x:c>
      <x:c r="B26" s="31" t="n">
        <x:f>COUNTIF(Run_Log!$F$2:$F$2000,"&lt;&gt;")</x:f>
        <x:v>0</x:v>
      </x:c>
      <x:c r="C26" s="20"/>
      <x:c r="D26" s="20"/>
      <x:c r="E26" s="20"/>
      <x:c r="F26" s="20"/>
      <x:c r="G26" s="20"/>
      <x:c r="H26" s="20"/>
      <x:c r="I26" s="20"/>
      <x:c r="J26" s="20"/>
      <x:c r="K26" s="20"/>
      <x:c r="L26" s="20"/>
      <x:c r="M26" s="20"/>
    </x:row>
    <x:row r="27" ht="51.26953125" hidden="0" customHeight="1">
      <x:c r="A27" s="23" t="inlineStr">
        <x:is>
          <x:t xml:space="preserve">Runs with Grouping_Strategy_ID recorded</x:t>
        </x:is>
      </x:c>
      <x:c r="B27" s="23" t="n">
        <x:f>COUNTIF(Run_Log!$G$2:$G$2000,"&lt;&gt;")</x:f>
        <x:v>0</x:v>
      </x:c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  <x:c r="M27" s="20"/>
    </x:row>
    <x:row r="28" ht="17.08984375" hidden="0" customHeight="1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  <x:c r="M28" s="20"/>
    </x:row>
    <x:row r="29" ht="17.08984375" hidden="0" customHeight="1">
      <x:c r="A29" s="20" t="str">
        <x:v>Robustness coverage status</x:v>
      </x:c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  <x:c r="M29" s="20"/>
    </x:row>
    <x:row r="30" ht="34.1796875" hidden="0" customHeight="1">
      <x:c r="A30" s="20" t="str">
        <x:v>Permutation support in program</x:v>
      </x:c>
      <x:c r="B30" s="20" t="str">
        <x:f>IF(COUNTIF(Master_Experiments!$A:$A,"E12")&gt;0,"YES","NO")</x:f>
        <x:v>YES</x:v>
      </x:c>
      <x:c r="C30" s="20"/>
      <x:c r="D30" s="20" t="str">
        <x:v>Confound diagnostics in program</x:v>
      </x:c>
      <x:c r="E30" s="20" t="str">
        <x:f>IF(COUNTIF(Master_Experiments!$A:$A,"E20")&gt;0,"YES","NO")</x:f>
        <x:v>YES</x:v>
      </x:c>
      <x:c r="F30" s="20"/>
      <x:c r="G30" s="20" t="str">
        <x:v>Leave-task-out in program</x:v>
      </x:c>
      <x:c r="H30" s="20" t="str">
        <x:f>IF(COUNTIF(Master_Experiments!$A:$A,"E21")&gt;0,"YES","NO")</x:f>
        <x:v>YES</x:v>
      </x:c>
      <x:c r="I30" s="20"/>
      <x:c r="J30" s="20" t="str">
        <x:v>Leave-modality-out in program</x:v>
      </x:c>
      <x:c r="K30" s="20" t="str">
        <x:f>IF(COUNTIF(Master_Experiments!$A:$A,"E22")&gt;0,"YES","NO")</x:f>
        <x:v>YES</x:v>
      </x:c>
      <x:c r="L30" s="20"/>
      <x:c r="M30" s="20"/>
      <x:c r="N30"/>
    </x:row>
    <x:row r="31" ht="34.1796875" hidden="0" customHeight="1">
      <x:c r="A31" s="20" t="str">
        <x:v>Trivial baseline in program</x:v>
      </x:c>
      <x:c r="B31" s="20" t="str">
        <x:f>IF(COUNTIF(Master_Experiments!$A:$A,"E13")&gt;0,"YES","NO")</x:f>
        <x:v>YES</x:v>
      </x:c>
      <x:c r="C31" s="20"/>
      <x:c r="D31" s="20" t="str">
        <x:v>Temporal / subset sensitivity in program</x:v>
      </x:c>
      <x:c r="E31" s="20" t="str">
        <x:f>IF(COUNTIF(Master_Experiments!$A:$A,"E23")&gt;0,"YES","NO")</x:f>
        <x:v>YES</x:v>
      </x:c>
      <x:c r="F31" s="20"/>
      <x:c r="G31" s="20" t="str">
        <x:v>Session-influence in program</x:v>
      </x:c>
      <x:c r="H31" s="20" t="str">
        <x:f>IF(COUNTIF(Master_Experiments!$A:$A,"E23")&gt;0,"YES","NO")</x:f>
        <x:v>YES</x:v>
      </x:c>
      <x:c r="I31" s="20"/>
      <x:c r="J31" s="20" t="str">
        <x:v>Reproducibility audit in program</x:v>
      </x:c>
      <x:c r="K31" s="20" t="str">
        <x:f>IF(COUNTIF(Master_Experiments!$A:$A,"E24")&gt;0,"YES","NO")</x:f>
        <x:v>YES</x:v>
      </x:c>
      <x:c r="L31" s="20"/>
      <x:c r="M31" s="20"/>
      <x:c r="N31"/>
    </x:row>
    <x:row r="32" ht="34.1796875" hidden="0" customHeight="1">
      <x:c r="A32" s="20" t="str">
        <x:v>Explanation stability in program</x:v>
      </x:c>
      <x:c r="B32" s="20" t="str">
        <x:f>IF(COUNTIF(Master_Experiments!$A:$A,"E14")&gt;0,"YES","NO")</x:f>
        <x:v>YES</x:v>
      </x:c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/>
    </x:row>
    <x:row r="33" ht="34.1796875" hidden="0" customHeight="1">
      <x:c r="A33" s="20" t="str">
        <x:v>Supporting robustness rows in Confirmatory_Set</x:v>
      </x:c>
      <x:c r="B33" s="20" t="n">
        <x:f>COUNTIFS(Confirmatory_Set!$A:$A,"E20")+COUNTIFS(Confirmatory_Set!$A:$A,"E21")+COUNTIFS(Confirmatory_Set!$A:$A,"E22")+COUNTIFS(Confirmatory_Set!$A:$A,"E23")+COUNTIFS(Confirmatory_Set!$A:$A,"E24")</x:f>
        <x:v>5</x:v>
      </x:c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0"/>
      <x:c r="N33"/>
    </x:row>
    <x:row r="34" ht="34.1796875" hidden="0" customHeight="1">
      <x:c r="A34" s="20" t="str">
        <x:v>Supporting robustness experiments completed</x:v>
      </x:c>
      <x:c r="B34" s="20" t="n">
        <x:f>COUNTIFS(Master_Experiments!$A:$A,"E20",Master_Experiments!$AA:$AA,"Completed")+COUNTIFS(Master_Experiments!$A:$A,"E21",Master_Experiments!$AA:$AA,"Completed")+COUNTIFS(Master_Experiments!$A:$A,"E22",Master_Experiments!$AA:$AA,"Completed")+COUNTIFS(Master_Experiments!$A:$A,"E23",Master_Experiments!$AA:$AA,"Completed")+COUNTIFS(Master_Experiments!$A:$A,"E24",Master_Experiments!$AA:$AA,"Completed")</x:f>
        <x:v>0</x:v>
      </x:c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0"/>
      <x:c r="N34"/>
    </x:row>
    <x:row r="35" ht="205.078125" hidden="0" customHeight="1">
      <x:c r="A35" s="20" t="str">
        <x:v>Notes</x:v>
      </x:c>
      <x:c r="B35" s="20" t="str">
        <x:v>Use these cells to verify that the workbook includes the intended robustness package before Chapter 4 drafting.</x:v>
      </x:c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0"/>
    </x:row>
  </x:sheetData>
  <x:mergeCells>
    <x:mergeCell ref="J3:K3"/>
    <x:mergeCell ref="D17:E17"/>
    <x:mergeCell ref="M3:N3"/>
    <x:mergeCell ref="D3:E3"/>
    <x:mergeCell ref="A3:B3"/>
    <x:mergeCell ref="G3:H3"/>
    <x:mergeCell ref="A1:N1"/>
  </x:mergeCells>
  <x:conditionalFormatting sqref="B9:B14">
    <x:cfRule type="expression" dxfId="0" priority="1">
      <x:formula>B9="YES"</x:formula>
    </x:cfRule>
    <x:cfRule type="expression" dxfId="4" priority="2">
      <x:formula>B9="NO"</x:formula>
    </x:cfRule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44" hidden="0" customWidth="1"/>
    <x:col min="3" max="3" width="18" hidden="0" customWidth="1"/>
    <x:col min="4" max="4" width="18" hidden="0" customWidth="1"/>
    <x:col min="5" max="5" width="14" hidden="0" customWidth="1"/>
    <x:col min="6" max="6" width="18" hidden="0" customWidth="1"/>
    <x:col min="7" max="7" width="32" hidden="0" customWidth="1"/>
    <x:col min="8" max="8" width="32" hidden="0" customWidth="1"/>
  </x:cols>
  <x:sheetData>
    <x:row r="1" ht="34.1796875" hidden="0" customHeight="1">
      <x:c r="A1" s="26" t="inlineStr">
        <x:is>
          <x:t xml:space="preserve">Claim_ID</x:t>
        </x:is>
      </x:c>
      <x:c r="B1" s="26" t="inlineStr">
        <x:is>
          <x:t xml:space="preserve">Claim_Text</x:t>
        </x:is>
      </x:c>
      <x:c r="C1" s="26" t="inlineStr">
        <x:is>
          <x:t xml:space="preserve">Claim_Type</x:t>
        </x:is>
      </x:c>
      <x:c r="D1" s="26" t="inlineStr">
        <x:is>
          <x:t xml:space="preserve">Supported_By_Experiments</x:t>
        </x:is>
      </x:c>
      <x:c r="E1" s="26" t="inlineStr">
        <x:is>
          <x:t xml:space="preserve">Evidence_Status</x:t>
        </x:is>
      </x:c>
      <x:c r="F1" s="26" t="inlineStr">
        <x:is>
          <x:t xml:space="preserve">Writing_Location</x:t>
        </x:is>
      </x:c>
      <x:c r="G1" s="26" t="inlineStr">
        <x:is>
          <x:t xml:space="preserve">Interpretation_Limit</x:t>
        </x:is>
      </x:c>
      <x:c r="H1" s="26" t="inlineStr">
        <x:is>
          <x:t xml:space="preserve">Notes</x:t>
        </x:is>
      </x:c>
    </x:row>
    <x:row r="2" ht="51.26953125" hidden="0" customHeight="1">
      <x:c r="A2" s="27" t="inlineStr">
        <x:is>
          <x:t xml:space="preserve">C01</x:t>
        </x:is>
      </x:c>
      <x:c r="B2" s="27" t="inlineStr">
        <x:is>
          <x:t xml:space="preserve">Primary within-person held-out-session decoding demonstrates meaningful generalization under locked pipeline.</x:t>
        </x:is>
      </x:c>
      <x:c r="C2" s="27" t="inlineStr">
        <x:is>
          <x:t xml:space="preserve">Confirmatory finding</x:t>
        </x:is>
      </x:c>
      <x:c r="D2" s="27" t="inlineStr">
        <x:is>
          <x:t xml:space="preserve">E16,E12,E13,E14</x:t>
        </x:is>
      </x:c>
      <x:c r="E2" s="27" t="inlineStr">
        <x:is>
          <x:t xml:space="preserve">open</x:t>
        </x:is>
      </x:c>
      <x:c r="F2" s="27" t="inlineStr">
        <x:is>
          <x:t xml:space="preserve">Chapter 4</x:t>
        </x:is>
      </x:c>
      <x:c r="G2" s="27" t="inlineStr">
        <x:is>
          <x:t xml:space="preserve">Interpret only within claim-matched split and current dataset scope.</x:t>
        </x:is>
      </x:c>
      <x:c r="H2" s="27" t="inlineStr">
        <x:is>
          <x:t xml:space="preserve"/>
        </x:is>
      </x:c>
    </x:row>
    <x:row r="3" ht="51.26953125" hidden="0" customHeight="1">
      <x:c r="A3" s="22" t="inlineStr">
        <x:is>
          <x:t xml:space="preserve">C02</x:t>
        </x:is>
      </x:c>
      <x:c r="B3" s="22" t="inlineStr">
        <x:is>
          <x:t xml:space="preserve">Frozen directional cross-person transfer indicates cross-case portability under domain shift.</x:t>
        </x:is>
      </x:c>
      <x:c r="C3" s="22" t="inlineStr">
        <x:is>
          <x:t xml:space="preserve">Confirmatory finding</x:t>
        </x:is>
      </x:c>
      <x:c r="D3" s="22" t="inlineStr">
        <x:is>
          <x:t xml:space="preserve">E17,E12,E13</x:t>
        </x:is>
      </x:c>
      <x:c r="E3" s="22" t="inlineStr">
        <x:is>
          <x:t xml:space="preserve">open</x:t>
        </x:is>
      </x:c>
      <x:c r="F3" s="22" t="inlineStr">
        <x:is>
          <x:t xml:space="preserve">Chapter 4</x:t>
        </x:is>
      </x:c>
      <x:c r="G3" s="22" t="inlineStr">
        <x:is>
          <x:t xml:space="preserve">Not a population-level generalization claim.</x:t>
        </x:is>
      </x:c>
      <x:c r="H3" s="22" t="inlineStr">
        <x:is>
          <x:t xml:space="preserve"/>
        </x:is>
      </x:c>
    </x:row>
    <x:row r="4" ht="34.1796875" hidden="0" customHeight="1">
      <x:c r="A4" s="27" t="inlineStr">
        <x:is>
          <x:t xml:space="preserve">C03</x:t>
        </x:is>
      </x:c>
      <x:c r="B4" s="27" t="inlineStr">
        <x:is>
          <x:t xml:space="preserve">Method lock decisions reduce leakage risk and interpretation drift.</x:t>
        </x:is>
      </x:c>
      <x:c r="C4" s="27" t="inlineStr">
        <x:is>
          <x:t xml:space="preserve">Method-choice</x:t>
        </x:is>
      </x:c>
      <x:c r="D4" s="27" t="inlineStr">
        <x:is>
          <x:t xml:space="preserve">E01,E04,E05,E06,E09,E11</x:t>
        </x:is>
      </x:c>
      <x:c r="E4" s="27" t="inlineStr">
        <x:is>
          <x:t xml:space="preserve">partial</x:t>
        </x:is>
      </x:c>
      <x:c r="F4" s="27" t="inlineStr">
        <x:is>
          <x:t xml:space="preserve">Chapter 3</x:t>
        </x:is>
      </x:c>
      <x:c r="G4" s="27" t="inlineStr">
        <x:is>
          <x:t xml:space="preserve">Governance claim; not a performance claim.</x:t>
        </x:is>
      </x:c>
      <x:c r="H4" s="27" t="inlineStr">
        <x:is>
          <x:t xml:space="preserve"/>
        </x:is>
      </x:c>
    </x:row>
    <x:row r="5" ht="68.359375" hidden="0" customHeight="1">
      <x:c r="A5" s="22" t="str">
        <x:v>C04</x:v>
      </x:c>
      <x:c r="B5" s="22" t="str">
        <x:v>Primary within-person result is not obviously reducible to non-target task, modality, or session-structure diagnostics.</x:v>
      </x:c>
      <x:c r="C5" s="22" t="str">
        <x:v>Robustness support</x:v>
      </x:c>
      <x:c r="D5" s="22" t="str">
        <x:v>E20</x:v>
      </x:c>
      <x:c r="E5" s="22" t="str">
        <x:v>open</x:v>
      </x:c>
      <x:c r="F5" s="22" t="str">
        <x:v>Chapter 4 / Chapter 5</x:v>
      </x:c>
      <x:c r="G5" s="22" t="str">
        <x:v>Diagnostics can narrow interpretation even if primary performance remains above chance.</x:v>
      </x:c>
      <x:c r="H5" s="22" t="str">
        <x:v>Confound-diagnostic boundary claim.</x:v>
      </x:c>
    </x:row>
    <x:row r="6" ht="51.26953125" hidden="0" customHeight="1">
      <x:c r="A6" s="27" t="str">
        <x:v>C05</x:v>
      </x:c>
      <x:c r="B6" s="27" t="str">
        <x:v>Main within-person conclusions remain directionally stable under stronger temporal or subset-sensitivity checks.</x:v>
      </x:c>
      <x:c r="C6" s="27" t="str">
        <x:v>Robustness support</x:v>
      </x:c>
      <x:c r="D6" s="27" t="str">
        <x:v>E21,E22,E23</x:v>
      </x:c>
      <x:c r="E6" s="27" t="str">
        <x:v>open</x:v>
      </x:c>
      <x:c r="F6" s="27" t="str">
        <x:v>Chapter 4 / Chapter 5</x:v>
      </x:c>
      <x:c r="G6" s="27" t="str">
        <x:v>Failure in stronger checks narrows the generalization language.</x:v>
      </x:c>
      <x:c r="H6" s="27" t="str">
        <x:v>Robustness-scope claim.</x:v>
      </x:c>
    </x:row>
    <x:row r="7" ht="68.359375" hidden="0" customHeight="1">
      <x:c r="A7" s="22" t="str">
        <x:v>C06</x:v>
      </x:c>
      <x:c r="B7" s="22" t="str">
        <x:v>Frozen confirmatory outputs are operationally reproducible under a rerun audit.</x:v>
      </x:c>
      <x:c r="C7" s="22" t="str">
        <x:v>Method-application / audit</x:v>
      </x:c>
      <x:c r="D7" s="22" t="str">
        <x:v>E24</x:v>
      </x:c>
      <x:c r="E7" s="22" t="str">
        <x:v>open</x:v>
      </x:c>
      <x:c r="F7" s="22" t="str">
        <x:v>Appendix / Method</x:v>
      </x:c>
      <x:c r="G7" s="22" t="str">
        <x:v>Operational reproducibility does not itself prove scientific validity, but supports trustworthiness.</x:v>
      </x:c>
      <x:c r="H7" s="22" t="str">
        <x:v>Reproducibility claim.</x:v>
      </x:c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</x:row>
  </x:sheetData>
  <x:dataValidations count="3">
    <x:dataValidation type="list" allowBlank="1" showDropDown="0" showInputMessage="0" showErrorMessage="0" sqref="C2:C1000">
      <x:formula1>=List_Claim_Type</x:formula1>
    </x:dataValidation>
    <x:dataValidation type="list" allowBlank="1" showDropDown="0" showInputMessage="0" showErrorMessage="0" sqref="E2:E1000">
      <x:formula1>=List_Evidence_Status</x:formula1>
    </x:dataValidation>
    <x:dataValidation type="list" allowBlank="1" showDropDown="0" showInputMessage="0" showErrorMessage="0" sqref="F2:F1000">
      <x:formula1>=List_Writing_Location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4e9e8e2ad7475b"/>
  </x:tableParts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2" hidden="0" customWidth="1"/>
    <x:col min="3" max="3" width="24" hidden="0" customWidth="1"/>
    <x:col min="4" max="4" width="24" hidden="0" customWidth="1"/>
    <x:col min="5" max="5" width="34" hidden="0" customWidth="1"/>
    <x:col min="6" max="6" width="34" hidden="0" customWidth="1"/>
    <x:col min="7" max="7" width="34" hidden="0" customWidth="1"/>
    <x:col min="8" max="8" width="18" hidden="0" customWidth="1"/>
    <x:col min="9" max="9" width="18" hidden="0" customWidth="1"/>
    <x:col min="10" max="10" width="34" hidden="0" customWidth="1"/>
  </x:cols>
  <x:sheetData>
    <x:row r="1">
      <x:c r="A1" s="26" t="inlineStr">
        <x:is>
          <x:t xml:space="preserve">Entry_ID</x:t>
        </x:is>
      </x:c>
      <x:c r="B1" s="26" t="inlineStr">
        <x:is>
          <x:t xml:space="preserve">Date</x:t>
        </x:is>
      </x:c>
      <x:c r="C1" s="26" t="inlineStr">
        <x:is>
          <x:t xml:space="preserve">Task</x:t>
        </x:is>
      </x:c>
      <x:c r="D1" s="26" t="inlineStr">
        <x:is>
          <x:t xml:space="preserve">Tool</x:t>
        </x:is>
      </x:c>
      <x:c r="E1" s="26" t="inlineStr">
        <x:is>
          <x:t xml:space="preserve">Input_Summary</x:t>
        </x:is>
      </x:c>
      <x:c r="F1" s="26" t="inlineStr">
        <x:is>
          <x:t xml:space="preserve">Output_Summary</x:t>
        </x:is>
      </x:c>
      <x:c r="G1" s="26" t="inlineStr">
        <x:is>
          <x:t xml:space="preserve">What_Was_Adopted</x:t>
        </x:is>
      </x:c>
      <x:c r="H1" s="26" t="inlineStr">
        <x:is>
          <x:t xml:space="preserve">Human_Verification_Status</x:t>
        </x:is>
      </x:c>
      <x:c r="I1" s="26" t="inlineStr">
        <x:is>
          <x:t xml:space="preserve">Thesis_Use</x:t>
        </x:is>
      </x:c>
      <x:c r="J1" s="26" t="inlineStr">
        <x:is>
          <x:t xml:space="preserve">Notes</x:t>
        </x:is>
      </x:c>
    </x:row>
    <x:row r="2">
      <x:c r="A2" s="27" t="inlineStr">
        <x:is>
          <x:t xml:space="preserve">AI001</x:t>
        </x:is>
      </x:c>
      <x:c r="B2" s="27" t="n"/>
      <x:c r="C2" s="27" t="n"/>
      <x:c r="D2" s="27" t="inlineStr">
        <x:is>
          <x:t xml:space="preserve">GPT-5.3-Codex</x:t>
        </x:is>
      </x:c>
      <x:c r="E2" s="27" t="inlineStr">
        <x:is>
          <x:t xml:space="preserve">Workbook package revision and governance alignment</x:t>
        </x:is>
      </x:c>
      <x:c r="F2" s="27" t="n"/>
      <x:c r="G2" s="27" t="n"/>
      <x:c r="H2" s="27" t="inlineStr">
        <x:is>
          <x:t xml:space="preserve">Not reviewed</x:t>
        </x:is>
      </x:c>
      <x:c r="I2" s="27" t="inlineStr">
        <x:is>
          <x:t xml:space="preserve">No</x:t>
        </x:is>
      </x:c>
      <x:c r="J2" s="27" t="n"/>
    </x:row>
    <x:row r="3">
      <x:c r="A3" s="22" t="str">
        <x:v>AI002</x:v>
      </x:c>
      <x:c r="B3" s="22" t="str">
        <x:v>2026-03-23</x:v>
      </x:c>
      <x:c r="C3" s="22" t="str">
        <x:v>Workbook governance and robustness-package revision</x:v>
      </x:c>
      <x:c r="D3" s="22" t="str">
        <x:v>GPT-5.4 Thinking</x:v>
      </x:c>
      <x:c r="E3" s="22" t="str">
        <x:v>Reviewed thesis/project logic and redesigned workbook planning sheets around method-lock + robustness package.</x:v>
      </x:c>
      <x:c r="F3" s="22" t="str">
        <x:v>Updated experiment inventory, design sheets, decision links, confirmatory set, and dashboard support block.</x:v>
      </x:c>
      <x:c r="G3" s="22" t="str">
        <x:v>Workbook structure and text plan adopted, to be human-reviewed before thesis use.</x:v>
      </x:c>
      <x:c r="H3" s="22" t="str">
        <x:v>Partially verified</x:v>
      </x:c>
      <x:c r="I3" s="22" t="str">
        <x:v>Yes</x:v>
      </x:c>
      <x:c r="J3" s="22" t="str">
        <x:v>Requires manual review of experiment feasibility against code before execution.</x:v>
      </x:c>
    </x:row>
    <x:row r="4">
      <x:c r="A4" s="27" t="n"/>
      <x:c r="B4" s="27" t="n"/>
      <x:c r="C4" s="27" t="n"/>
      <x:c r="D4" s="27" t="n"/>
      <x:c r="E4" s="27" t="n"/>
      <x:c r="F4" s="27" t="n"/>
      <x:c r="G4" s="27" t="n"/>
      <x:c r="H4" s="27" t="n"/>
      <x:c r="I4" s="27" t="n"/>
      <x:c r="J4" s="27" t="n"/>
    </x:row>
    <x:row r="5">
      <x:c r="A5" s="3" t="n"/>
      <x:c r="B5" s="3" t="n"/>
      <x:c r="C5" s="3" t="n"/>
      <x:c r="D5" s="3" t="n"/>
      <x:c r="E5" s="3" t="n"/>
      <x:c r="F5" s="3" t="n"/>
      <x:c r="G5" s="3" t="n"/>
      <x:c r="H5" s="3" t="n"/>
      <x:c r="I5" s="3" t="n"/>
      <x:c r="J5" s="3" t="n"/>
    </x:row>
    <x:row r="6">
      <x:c r="A6" s="8" t="n"/>
      <x:c r="B6" s="8" t="n"/>
      <x:c r="C6" s="8" t="n"/>
      <x:c r="D6" s="8" t="n"/>
      <x:c r="E6" s="8" t="n"/>
      <x:c r="F6" s="8" t="n"/>
      <x:c r="G6" s="8" t="n"/>
      <x:c r="H6" s="8" t="n"/>
      <x:c r="I6" s="8" t="n"/>
      <x:c r="J6" s="8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  <x:c r="J7" s="3" t="n"/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  <x:c r="I8" s="8" t="n"/>
      <x:c r="J8" s="8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  <x:c r="J9" s="3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  <x:c r="I10" s="8" t="n"/>
      <x:c r="J10" s="8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  <x:c r="J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  <x:c r="J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</x:row>
    <x:row r="32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</x:row>
    <x:row r="34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</x:row>
    <x:row r="36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</x:row>
    <x:row r="38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</x:row>
    <x:row r="40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</x:row>
  </x:sheetData>
  <x:dataValidations count="2">
    <x:dataValidation type="list" allowBlank="1" showDropDown="0" showInputMessage="0" showErrorMessage="0" sqref="H2:H1000">
      <x:formula1>=List_Human_Verification_Status</x:formula1>
    </x:dataValidation>
    <x:dataValidation type="list" allowBlank="1" showDropDown="0" showInputMessage="0" showErrorMessage="0" sqref="I2:I1000">
      <x:formula1>=List_Used_in_Thesis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d53619a6c546f3"/>
  </x:tableParts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6" hidden="0" customWidth="1"/>
    <x:col min="3" max="3" width="18" hidden="0" customWidth="1"/>
    <x:col min="4" max="4" width="36" hidden="0" customWidth="1"/>
    <x:col min="5" max="5" width="36" hidden="0" customWidth="1"/>
    <x:col min="6" max="6" width="16" hidden="0" customWidth="1"/>
    <x:col min="7" max="7" width="16" hidden="0" customWidth="1"/>
    <x:col min="8" max="8" width="28" hidden="0" customWidth="1"/>
  </x:cols>
  <x:sheetData>
    <x:row r="1">
      <x:c r="A1" s="26" t="inlineStr">
        <x:is>
          <x:t xml:space="preserve">Note_ID</x:t>
        </x:is>
      </x:c>
      <x:c r="B1" s="26" t="inlineStr">
        <x:is>
          <x:t xml:space="preserve">Experiment_ID_or_Decision_ID</x:t>
        </x:is>
      </x:c>
      <x:c r="C1" s="26" t="inlineStr">
        <x:is>
          <x:t xml:space="preserve">Topic</x:t>
        </x:is>
      </x:c>
      <x:c r="D1" s="26" t="inlineStr">
        <x:is>
          <x:t xml:space="preserve">Risk_or_Concern</x:t>
        </x:is>
      </x:c>
      <x:c r="E1" s="26" t="inlineStr">
        <x:is>
          <x:t xml:space="preserve">Mitigation_or_Response</x:t>
        </x:is>
      </x:c>
      <x:c r="F1" s="26" t="inlineStr">
        <x:is>
          <x:t xml:space="preserve">Thesis_Section</x:t>
        </x:is>
      </x:c>
      <x:c r="G1" s="26" t="inlineStr">
        <x:is>
          <x:t xml:space="preserve">Status</x:t>
        </x:is>
      </x:c>
      <x:c r="H1" s="26" t="inlineStr">
        <x:is>
          <x:t xml:space="preserve">Notes</x:t>
        </x:is>
      </x:c>
    </x:row>
    <x:row r="2">
      <x:c r="A2" s="27" t="inlineStr">
        <x:is>
          <x:t xml:space="preserve">EN01</x:t>
        </x:is>
      </x:c>
      <x:c r="B2" s="27" t="inlineStr">
        <x:is>
          <x:t xml:space="preserve">E16</x:t>
        </x:is>
      </x:c>
      <x:c r="C2" s="27" t="inlineStr">
        <x:is>
          <x:t xml:space="preserve">Interpretation limits</x:t>
        </x:is>
      </x:c>
      <x:c r="D2" s="27" t="inlineStr">
        <x:is>
          <x:t xml:space="preserve">Risk of over-claiming confirmatory evidence beyond split/domain scope</x:t>
        </x:is>
      </x:c>
      <x:c r="E2" s="27" t="inlineStr">
        <x:is>
          <x:t xml:space="preserve">Enforce interpretation boundaries in Claim_Ledger and Chapter 5 limitations</x:t>
        </x:is>
      </x:c>
      <x:c r="F2" s="27" t="inlineStr">
        <x:is>
          <x:t xml:space="preserve">Chapter 5</x:t>
        </x:is>
      </x:c>
      <x:c r="G2" s="27" t="inlineStr">
        <x:is>
          <x:t xml:space="preserve">Open</x:t>
        </x:is>
      </x:c>
      <x:c r="H2" s="27" t="inlineStr">
        <x:is>
          <x:t xml:space="preserve"/>
        </x:is>
      </x:c>
    </x:row>
    <x:row r="3">
      <x:c r="A3" s="22" t="inlineStr">
        <x:is>
          <x:t xml:space="preserve">EN02</x:t>
        </x:is>
      </x:c>
      <x:c r="B3" s="22" t="inlineStr">
        <x:is>
          <x:t xml:space="preserve">D08</x:t>
        </x:is>
      </x:c>
      <x:c r="C3" s="22" t="inlineStr">
        <x:is>
          <x:t xml:space="preserve">AI/tool transparency</x:t>
        </x:is>
      </x:c>
      <x:c r="D3" s="22" t="inlineStr">
        <x:is>
          <x:t xml:space="preserve">Insufficient traceability of AI-assisted drafting decisions</x:t>
        </x:is>
      </x:c>
      <x:c r="E3" s="22" t="inlineStr">
        <x:is>
          <x:t xml:space="preserve">Maintain AI_Usage_Log with human verification status before thesis inclusion</x:t>
        </x:is>
      </x:c>
      <x:c r="F3" s="22" t="inlineStr">
        <x:is>
          <x:t xml:space="preserve">Chapter 2/Appendix</x:t>
        </x:is>
      </x:c>
      <x:c r="G3" s="22" t="inlineStr">
        <x:is>
          <x:t xml:space="preserve">Open</x:t>
        </x:is>
      </x:c>
      <x:c r="H3" s="22" t="inlineStr">
        <x:is>
          <x:t xml:space="preserve"/>
        </x:is>
      </x:c>
    </x:row>
    <x:row r="4">
      <x:c r="A4" s="27" t="str">
        <x:v>EN03</x:v>
      </x:c>
      <x:c r="B4" s="27" t="str">
        <x:v>E20</x:v>
      </x:c>
      <x:c r="C4" s="27" t="str">
        <x:v>Confound interpretation</x:v>
      </x:c>
      <x:c r="D4" s="27" t="str">
        <x:v>Task/modality/session structure may be mistaken for affect-related evidence.</x:v>
      </x:c>
      <x:c r="E4" s="27" t="str">
        <x:v>Treat confound-diagnostic results as interpretation boundaries and report them even if they weaken the preferred narrative.</x:v>
      </x:c>
      <x:c r="F4" s="27" t="str">
        <x:v>Chapter 4/5</x:v>
      </x:c>
      <x:c r="G4" s="27" t="str">
        <x:v>Open</x:v>
      </x:c>
      <x:c r="H4" s="27" t="str">
        <x:v>Supports cautious interpretation.</x:v>
      </x:c>
    </x:row>
    <x:row r="5">
      <x:c r="A5" s="22" t="str">
        <x:v>EN04</x:v>
      </x:c>
      <x:c r="B5" s="22" t="str">
        <x:v>E21,E22</x:v>
      </x:c>
      <x:c r="C5" s="22" t="str">
        <x:v>Generalization scope</x:v>
      </x:c>
      <x:c r="D5" s="22" t="str">
        <x:v>Held-out task or modality failures may indicate claim scope is narrower than pooled-session performance suggests.</x:v>
      </x:c>
      <x:c r="E5" s="22" t="str">
        <x:v>Use stronger generalization language only if these checks remain directionally supportive.</x:v>
      </x:c>
      <x:c r="F5" s="22" t="str">
        <x:v>Chapter 4/5</x:v>
      </x:c>
      <x:c r="G5" s="22" t="str">
        <x:v>Open</x:v>
      </x:c>
      <x:c r="H5" s="22" t="str">
        <x:v>Do not hide negative robustness checks.</x:v>
      </x:c>
    </x:row>
    <x:row r="6">
      <x:c r="A6" s="27" t="str">
        <x:v>EN05</x:v>
      </x:c>
      <x:c r="B6" s="27" t="str">
        <x:v>E23</x:v>
      </x:c>
      <x:c r="C6" s="27" t="str">
        <x:v>Subset dependence</x:v>
      </x:c>
      <x:c r="D6" s="27" t="str">
        <x:v>A result driven by a small number of sessions can overstate stability.</x:v>
      </x:c>
      <x:c r="E6" s="27" t="str">
        <x:v>Use session-influence sensitivity before strong wording about stability.</x:v>
      </x:c>
      <x:c r="F6" s="27" t="str">
        <x:v>Chapter 5</x:v>
      </x:c>
      <x:c r="G6" s="27" t="str">
        <x:v>Open</x:v>
      </x:c>
      <x:c r="H6" s="27" t="str">
        <x:v>Relevant to repeated-measures validity.</x:v>
      </x:c>
    </x:row>
    <x:row r="7">
      <x:c r="A7" s="22" t="str">
        <x:v>EN06</x:v>
      </x:c>
      <x:c r="B7" s="22" t="str">
        <x:v>E24</x:v>
      </x:c>
      <x:c r="C7" s="22" t="str">
        <x:v>Reproducibility and tool transparency</x:v>
      </x:c>
      <x:c r="D7" s="22" t="str">
        <x:v>A final evidence package that cannot be cleanly rerun weakens trustworthiness.</x:v>
      </x:c>
      <x:c r="E7" s="22" t="str">
        <x:v>Require frozen rerun audit plus AI/tool logging before defense-ready packaging.</x:v>
      </x:c>
      <x:c r="F7" s="22" t="str">
        <x:v>Appendix / Reflection</x:v>
      </x:c>
      <x:c r="G7" s="22" t="str">
        <x:v>Open</x:v>
      </x:c>
      <x:c r="H7" s="22" t="str">
        <x:v>Links technical reproducibility to transparency.</x:v>
      </x:c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</x:row>
    <x:row r="22">
      <x:c r="A22" s="8" t="n"/>
      <x:c r="B22" s="8" t="n"/>
      <x:c r="C22" s="8" t="n"/>
      <x:c r="D22" s="8" t="n"/>
      <x:c r="E22" s="8" t="n"/>
      <x:c r="F22" s="8" t="n"/>
      <x:c r="G22" s="8" t="n"/>
      <x:c r="H22" s="8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</x:row>
    <x:row r="24">
      <x:c r="A24" s="8" t="n"/>
      <x:c r="B24" s="8" t="n"/>
      <x:c r="C24" s="8" t="n"/>
      <x:c r="D24" s="8" t="n"/>
      <x:c r="E24" s="8" t="n"/>
      <x:c r="F24" s="8" t="n"/>
      <x:c r="G24" s="8" t="n"/>
      <x:c r="H24" s="8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</x:row>
    <x:row r="26">
      <x:c r="A26" s="8" t="n"/>
      <x:c r="B26" s="8" t="n"/>
      <x:c r="C26" s="8" t="n"/>
      <x:c r="D26" s="8" t="n"/>
      <x:c r="E26" s="8" t="n"/>
      <x:c r="F26" s="8" t="n"/>
      <x:c r="G26" s="8" t="n"/>
      <x:c r="H26" s="8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</x:row>
    <x:row r="28">
      <x:c r="A28" s="8" t="n"/>
      <x:c r="B28" s="8" t="n"/>
      <x:c r="C28" s="8" t="n"/>
      <x:c r="D28" s="8" t="n"/>
      <x:c r="E28" s="8" t="n"/>
      <x:c r="F28" s="8" t="n"/>
      <x:c r="G28" s="8" t="n"/>
      <x:c r="H28" s="8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</x:row>
    <x:row r="30">
      <x:c r="A30" s="8" t="n"/>
      <x:c r="B30" s="8" t="n"/>
      <x:c r="C30" s="8" t="n"/>
      <x:c r="D30" s="8" t="n"/>
      <x:c r="E30" s="8" t="n"/>
      <x:c r="F30" s="8" t="n"/>
      <x:c r="G30" s="8" t="n"/>
      <x:c r="H30" s="8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</x:row>
  </x:sheetData>
  <x:dataValidations count="2">
    <x:dataValidation type="list" allowBlank="1" showDropDown="0" showInputMessage="0" showErrorMessage="0" sqref="C2:C1000">
      <x:formula1>=List_Ethics_Topic</x:formula1>
    </x:dataValidation>
    <x:dataValidation type="list" allowBlank="1" showDropDown="0" showInputMessage="0" showErrorMessage="0" sqref="G2:G1000">
      <x:formula1>=List_Ethics_Status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f3fbffdff74790"/>
  </x:tableParts>
</x:worksheet>
</file>