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23.xml" ContentType="application/vnd.openxmlformats-officedocument.spreadsheetml.worksheet+xml"/>
  <Override PartName="/xl/tables/table26.xml" ContentType="application/vnd.openxmlformats-officedocument.spreadsheetml.table+xml"/>
  <Override PartName="/xl/worksheets/sheet24.xml" ContentType="application/vnd.openxmlformats-officedocument.spreadsheetml.worksheet+xml"/>
  <Override PartName="/xl/tables/table27.xml" ContentType="application/vnd.openxmlformats-officedocument.spreadsheetml.table+xml"/>
  <Override PartName="/xl/worksheets/sheet25.xml" ContentType="application/vnd.openxmlformats-officedocument.spreadsheetml.worksheet+xml"/>
  <Override PartName="/xl/tables/table28.xml" ContentType="application/vnd.openxmlformats-officedocument.spreadsheetml.table+xml"/>
  <Override PartName="/xl/worksheets/sheet26.xml" ContentType="application/vnd.openxmlformats-officedocument.spreadsheetml.worksheet+xml"/>
  <Override PartName="/xl/tables/table29.xml" ContentType="application/vnd.openxmlformats-officedocument.spreadsheetml.table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ables/table30.xml" ContentType="application/vnd.openxmlformats-officedocument.spreadsheetml.table+xml"/>
  <Override PartName="/xl/worksheets/sheet30.xml" ContentType="application/vnd.openxmlformats-officedocument.spreadsheetml.worksheet+xml"/>
  <Override PartName="/xl/tables/table31.xml" ContentType="application/vnd.openxmlformats-officedocument.spreadsheetml.table+xml"/>
  <Override PartName="/xl/worksheets/sheet31.xml" ContentType="application/vnd.openxmlformats-officedocument.spreadsheetml.worksheet+xml"/>
  <Override PartName="/xl/tables/table3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_Experiments" sheetId="2" state="visible" r:id="rId2"/>
    <sheet name="Experiment_Definitions" sheetId="3" state="visible" r:id="rId3"/>
    <sheet name="Search_Spaces" sheetId="4" state="visible" r:id="rId4"/>
    <sheet name="Study_Design" sheetId="5" state="visible" r:id="rId5"/>
    <sheet name="Study_Rigor_Checklist" sheetId="6" state="visible" r:id="rId6"/>
    <sheet name="Analysis_Plan" sheetId="7" state="visible" r:id="rId7"/>
    <sheet name="Factors" sheetId="8" state="visible" r:id="rId8"/>
    <sheet name="Fixed_Controls" sheetId="9" state="visible" r:id="rId9"/>
    <sheet name="Constraints" sheetId="10" state="visible" r:id="rId10"/>
    <sheet name="Blocking_and_Replication" sheetId="11" state="visible" r:id="rId11"/>
    <sheet name="Generated_Design_Matrix" sheetId="12" state="visible" r:id="rId12"/>
    <sheet name="Effect_Summaries" sheetId="13" state="visible" r:id="rId13"/>
    <sheet name="Artifact_Registry" sheetId="14" state="visible" r:id="rId14"/>
    <sheet name="Fixed_Configs" sheetId="15" state="visible" r:id="rId15"/>
    <sheet name="Objectives" sheetId="16" state="visible" r:id="rId16"/>
    <sheet name="Machine_Status" sheetId="17" state="visible" r:id="rId17"/>
    <sheet name="Trial_Results" sheetId="18" state="visible" r:id="rId18"/>
    <sheet name="Summary_Outputs" sheetId="19" state="visible" r:id="rId19"/>
    <sheet name="Data_Selection_Design" sheetId="20" state="visible" r:id="rId20"/>
    <sheet name="Grouping_Strategy_Map" sheetId="21" state="visible" r:id="rId21"/>
    <sheet name="Data_Profile" sheetId="22" state="visible" r:id="rId22"/>
    <sheet name="Run_Log" sheetId="23" state="visible" r:id="rId23"/>
    <sheet name="Decision_Log" sheetId="24" state="visible" r:id="rId24"/>
    <sheet name="Confirmatory_Set" sheetId="25" state="visible" r:id="rId25"/>
    <sheet name="Thesis_Map" sheetId="26" state="visible" r:id="rId26"/>
    <sheet name="Dictionary_Validation" sheetId="27" state="visible" r:id="rId27"/>
    <sheet name="Dashboard" sheetId="28" state="visible" r:id="rId28"/>
    <sheet name="Claim_Ledger" sheetId="29" state="visible" r:id="rId29"/>
    <sheet name="AI_Usage_Log" sheetId="30" state="visible" r:id="rId30"/>
    <sheet name="Ethics_Governance_Notes" sheetId="31" state="visible" r:id="rId31"/>
  </sheets>
  <definedNames>
    <definedName name="List_Experiment_ID">'Master_Experiments'!$A$2:INDEX('Master_Experiments'!$A:$A,MATCH("zzz",'Master_Experiments'!$A:$A))</definedName>
    <definedName name="List_Search_Space_ID">'Search_Spaces'!$A$3:INDEX('Search_Spaces'!$A:$A,MATCH("zzz",'Search_Spaces'!$A:$A))</definedName>
    <definedName name="List_Study_ID">'Study_Design'!$A$3:INDEX('Study_Design'!$A:$A,MATCH("zzz",'Study_Design'!$A:$A))</definedName>
    <definedName name="List_Data_Slice_ID">'Data_Selection_Design'!$A$2:INDEX('Data_Selection_Design'!$A:$A,MATCH("zzz",'Data_Selection_Design'!$A:$A))</definedName>
    <definedName name="List_Grouping_Strategy_ID">'Grouping_Strategy_Map'!$A$2:INDEX('Grouping_Strategy_Map'!$A:$A,MATCH("zzz",'Grouping_Strategy_Map'!$A:$A))</definedName>
    <definedName name="List_Category">'Dictionary_Validation'!$A$3:$A$9</definedName>
    <definedName name="List_Evidential_Role">'Dictionary_Validation'!$B$3:$B$7</definedName>
    <definedName name="List_Stage">'Dictionary_Validation'!$C$3:$C$9</definedName>
    <definedName name="List_Priority">'Dictionary_Validation'!$D$3:$D$6</definedName>
    <definedName name="List_Status">'Dictionary_Validation'!$E$3:$E$8</definedName>
    <definedName name="List_Reporting_Destination">'Dictionary_Validation'!$F$3:$F$7</definedName>
    <definedName name="List_Reviewed">'Dictionary_Validation'!$G$3:$G$4</definedName>
    <definedName name="List_Used_in_Thesis">'Dictionary_Validation'!$H$3:$H$4</definedName>
    <definedName name="List_Freeze_Status">'Dictionary_Validation'!$I$3:$I$4</definedName>
    <definedName name="List_Run_Type">'Dictionary_Validation'!$J$3:$J$7</definedName>
    <definedName name="List_Affects_Frozen_Pipeline">'Dictionary_Validation'!$K$3:$K$4</definedName>
    <definedName name="List_Eligible_for_Method_Decision">'Dictionary_Validation'!$L$3:$L$4</definedName>
    <definedName name="List_Claim_Type">'Dictionary_Validation'!$M$3:$M$6</definedName>
    <definedName name="List_Evidence_Status">'Dictionary_Validation'!$N$3:$N$5</definedName>
    <definedName name="List_Writing_Location">'Dictionary_Validation'!$O$3:$O$6</definedName>
    <definedName name="List_Human_Verification_Status">'Dictionary_Validation'!$P$3:$P$5</definedName>
    <definedName name="List_Ethics_Status">'Dictionary_Validation'!$Q$3:$Q$5</definedName>
    <definedName name="List_Ethics_Topic">'Dictionary_Validation'!$R$3:$R$8</definedName>
    <definedName name="List_Required_for_Main_Claim">'Dictionary_Validation'!$S$3:$S$4</definedName>
    <definedName name="List_Ready_for_Chapter_4">'Dictionary_Validation'!$T$3:$T$4</definedName>
    <definedName name="List_YesNo">'Dictionary_Validation'!$U$3:$U$4</definedName>
    <definedName name="List_Subject_Scope">'Dictionary_Validation'!$V$3:$V$5</definedName>
    <definedName name="List_Session_Scope">'Dictionary_Validation'!$W$3:$W$7</definedName>
    <definedName name="List_Task_Scope">'Dictionary_Validation'!$X$3:$X$7</definedName>
    <definedName name="List_Modality_Scope">'Dictionary_Validation'!$Y$3:$Y$6</definedName>
    <definedName name="List_Class_Balance_Policy">'Dictionary_Validation'!$Z$3:$Z$6</definedName>
    <definedName name="List_Split_Family">'Dictionary_Validation'!$AA$3:$AA$7</definedName>
    <definedName name="List_Imbalance_Status">'Dictionary_Validation'!$AB$3:$AB$6</definedName>
    <definedName name="List_Leakage_Check_Status">'Dictionary_Validation'!$AC$3:$AC$6</definedName>
    <definedName name="List_Thesis_Use_Tag">'Dictionary_Validation'!$AD$3:$AD$7</definedName>
    <definedName name="List_Use_Case">'Dictionary_Validation'!$AE$3:$AE$9</definedName>
    <definedName name="List_Group_Unit">'Dictionary_Validation'!$AF$3:$AF$9</definedName>
    <definedName name="List_Grouping_Level">'Dictionary_Validation'!$AG$3:$AG$9</definedName>
    <definedName name="List_Transfer_Direction">'Dictionary_Validation'!$AH$3:$AH$7</definedName>
    <definedName name="List_Leakage_Risk_Level">'Dictionary_Validation'!$AI$3:$AI$6</definedName>
    <definedName name="List_Target_Type">'Dictionary_Validation'!$AJ$3:$AJ$6</definedName>
    <definedName name="List_Execution_Section">'Dictionary_Validation'!$AK$3:$AK$9</definedName>
    <definedName name="List_Reuse_Policy">'Dictionary_Validation'!$AL$3:$AL$5</definedName>
    <definedName name="List_Search_Optimization_Mode">'Dictionary_Validation'!$AM$3:$AM$4</definedName>
    <definedName name="List_Search_Parameter_Scope">'Dictionary_Validation'!$AN$3:$AN$5</definedName>
    <definedName name="List_Study_Type">'Dictionary_Validation'!$AO$3:$AO$6</definedName>
    <definedName name="List_Study_Intent">'Dictionary_Validation'!$AP$3:$AP$4</definedName>
    <definedName name="List_Factor_Type">'Dictionary_Validation'!$AQ$3:$AQ$6</definedName>
    <definedName name="List_Replication_Mode">'Dictionary_Validation'!$AR$3:$AR$5</definedName>
    <definedName name="List_Replication_Strategy">'Dictionary_Validation'!$AS$3:$AS$6</definedName>
    <definedName name="List_Blocking_Strategy">'Dictionary_Validation'!$AT$3:$AT$7</definedName>
    <definedName name="List_Randomization_Strategy">'Dictionary_Validation'!$AU$3:$AU$7</definedName>
    <definedName name="List_Random_Seed_Policy">'Dictionary_Validation'!$AV$3:$AV$5</definedName>
    <definedName name="List_Block_Type">'Dictionary_Validation'!$AW$3:$AW$7</definedName>
    <definedName name="List_Design_Cell_Status">'Dictionary_Validation'!$AX$3:$AX$7</definedName>
    <definedName name="List_Aggregation_Level">'Dictionary_Validation'!$AY$3:$AY$7</definedName>
    <definedName name="List_Uncertainty_Method">'Dictionary_Validation'!$AZ$3:$AZ$7</definedName>
    <definedName name="List_Multiplicity_Handling">'Dictionary_Validation'!$BA$3:$BA$8</definedName>
    <definedName name="List_Interaction_Reporting_Policy">'Dictionary_Validation'!$BB$3:$BB$6</definedName>
    <definedName name="_xlnm._FilterDatabase" localSheetId="1" hidden="1">'Master_Experiments'!$A$1:$AF$20</definedName>
    <definedName name="_xlnm._FilterDatabase" localSheetId="2" hidden="1">'Experiment_Definitions'!$A$1:$O$81</definedName>
    <definedName name="_xlnm._FilterDatabase" localSheetId="3" hidden="1">'Search_Spaces'!$A$2:$I$61</definedName>
    <definedName name="_xlnm._FilterDatabase" localSheetId="4" hidden="1">'Study_Design'!$A$2:$W$61</definedName>
    <definedName name="_xlnm._FilterDatabase" localSheetId="5" hidden="1">'Study_Rigor_Checklist'!$A$2:$M$61</definedName>
    <definedName name="_xlnm._FilterDatabase" localSheetId="6" hidden="1">'Analysis_Plan'!$A$2:$I$61</definedName>
    <definedName name="_xlnm._FilterDatabase" localSheetId="7" hidden="1">'Factors'!$A$2:$F$61</definedName>
    <definedName name="_xlnm._FilterDatabase" localSheetId="8" hidden="1">'Fixed_Controls'!$A$2:$C$61</definedName>
    <definedName name="_xlnm._FilterDatabase" localSheetId="9" hidden="1">'Constraints'!$A$2:$F$61</definedName>
    <definedName name="_xlnm._FilterDatabase" localSheetId="10" hidden="1">'Blocking_and_Replication'!$A$2:$E$61</definedName>
    <definedName name="_xlnm._FilterDatabase" localSheetId="11" hidden="1">'Generated_Design_Matrix'!$A$2:$I$61</definedName>
    <definedName name="_xlnm._FilterDatabase" localSheetId="12" hidden="1">'Effect_Summaries'!$A$2:$J$61</definedName>
    <definedName name="_xlnm._FilterDatabase" localSheetId="13" hidden="1">'Artifact_Registry'!$A$2:$J$61</definedName>
    <definedName name="_xlnm._FilterDatabase" localSheetId="14" hidden="1">'Fixed_Configs'!$A$2:$G$61</definedName>
    <definedName name="_xlnm._FilterDatabase" localSheetId="15" hidden="1">'Objectives'!$A$2:$H$61</definedName>
    <definedName name="_xlnm._FilterDatabase" localSheetId="16" hidden="1">'Machine_Status'!$A$2:$H$61</definedName>
    <definedName name="_xlnm._FilterDatabase" localSheetId="17" hidden="1">'Trial_Results'!$A$2:$N$61</definedName>
    <definedName name="_xlnm._FilterDatabase" localSheetId="18" hidden="1">'Summary_Outputs'!$A$2:$N$61</definedName>
    <definedName name="_xlnm._FilterDatabase" localSheetId="19" hidden="1">'Data_Selection_Design'!$A$1:$R$41</definedName>
    <definedName name="_xlnm._FilterDatabase" localSheetId="20" hidden="1">'Grouping_Strategy_Map'!$A$1:$O$41</definedName>
    <definedName name="_xlnm._FilterDatabase" localSheetId="22" hidden="1">'Run_Log'!$A$1:$AK$41</definedName>
    <definedName name="_xlnm._FilterDatabase" localSheetId="23" hidden="1">'Decision_Log'!$A$1:$N$9</definedName>
    <definedName name="_xlnm._FilterDatabase" localSheetId="24" hidden="1">'Confirmatory_Set'!$A$1:$L$6</definedName>
    <definedName name="_xlnm._FilterDatabase" localSheetId="25" hidden="1">'Thesis_Map'!$A$1:$H$20</definedName>
    <definedName name="_xlnm._FilterDatabase" localSheetId="28" hidden="1">'Claim_Ledger'!$A$1:$H$31</definedName>
    <definedName name="_xlnm._FilterDatabase" localSheetId="29" hidden="1">'AI_Usage_Log'!$A$1:$J$41</definedName>
    <definedName name="_xlnm._FilterDatabase" localSheetId="30" hidden="1">'Ethics_Governance_Notes'!$A$1:$H$31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2"/>
    </font>
    <font>
      <b val="1"/>
      <sz val="14"/>
    </font>
    <font>
      <b val="1"/>
      <sz val="11"/>
    </font>
    <font>
      <b val="1"/>
      <sz val="15"/>
    </font>
    <font>
      <i val="1"/>
      <color rgb="004B5563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EF3FB"/>
      </patternFill>
    </fill>
    <fill>
      <patternFill patternType="solid">
        <fgColor rgb="00FFF8E1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4" borderId="1" applyAlignment="1" pivotButton="0" quotePrefix="0" xfId="0">
      <alignment vertical="top" wrapText="1"/>
    </xf>
    <xf numFmtId="0" fontId="8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4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2" fillId="3" borderId="0" pivotButton="0" quotePrefix="0" xfId="0"/>
    <xf numFmtId="0" fontId="0" fillId="6" borderId="1" pivotButton="0" quotePrefix="0" xfId="0"/>
    <xf numFmtId="0" fontId="6" fillId="3" borderId="1" pivotButton="0" quotePrefix="0" xfId="0"/>
    <xf numFmtId="0" fontId="4" fillId="2" borderId="0" pivotButton="0" quotePrefix="0" xfId="0"/>
    <xf numFmtId="0" fontId="3" fillId="5" borderId="0" pivotButton="0" quotePrefix="0" xfId="0"/>
    <xf numFmtId="0" fontId="7" fillId="2" borderId="0" pivotButton="0" quotePrefix="0" xfId="0"/>
    <xf numFmtId="0" fontId="4" fillId="3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ont>
        <i val="1"/>
        <color rgb="006E6E6E"/>
      </font>
      <fill>
        <patternFill patternType="solid">
          <fgColor rgb="00E7E6E6"/>
        </patternFill>
      </fill>
    </dxf>
    <dxf>
      <fill>
        <patternFill patternType="solid">
          <fgColor rgb="00FBE5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ables/table1.xml><?xml version="1.0" encoding="utf-8"?>
<table xmlns="http://schemas.openxmlformats.org/spreadsheetml/2006/main" id="1" name="ExperimentDefinitionsTable" displayName="ExperimentDefinitionsTable" ref="A1:O81" headerRowCount="1">
  <autoFilter ref="A1:O81"/>
  <tableColumns count="15">
    <tableColumn id="1" name="experiment_id"/>
    <tableColumn id="2" name="enabled"/>
    <tableColumn id="3" name="start_section"/>
    <tableColumn id="4" name="end_section"/>
    <tableColumn id="5" name="base_artifact_id"/>
    <tableColumn id="6" name="target"/>
    <tableColumn id="7" name="cv"/>
    <tableColumn id="8" name="model"/>
    <tableColumn id="9" name="subject"/>
    <tableColumn id="10" name="train_subject"/>
    <tableColumn id="11" name="test_subject"/>
    <tableColumn id="12" name="filter_task"/>
    <tableColumn id="13" name="filter_modality"/>
    <tableColumn id="14" name="reuse_policy"/>
    <tableColumn id="15" name="search_space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archSpacesTable" displayName="SearchSpacesTable" ref="A2:I61" headerRowCount="1">
  <autoFilter ref="A2:I61"/>
  <tableColumns count="9">
    <tableColumn id="1" name="search_space_id"/>
    <tableColumn id="2" name="enabled"/>
    <tableColumn id="3" name="optimization_mode"/>
    <tableColumn id="4" name="parameter_name"/>
    <tableColumn id="5" name="parameter_values"/>
    <tableColumn id="6" name="parameter_scope"/>
    <tableColumn id="7" name="objective_metric"/>
    <tableColumn id="8" name="max_trials"/>
    <tableColumn id="9" name="note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StudyDesignTable" displayName="StudyDesignTable" ref="A2:W61" headerRowCount="1">
  <autoFilter ref="A2:W61"/>
  <tableColumns count="23">
    <tableColumn id="1" name="study_id"/>
    <tableColumn id="2" name="study_name"/>
    <tableColumn id="3" name="enabled"/>
    <tableColumn id="4" name="study_type"/>
    <tableColumn id="5" name="intent"/>
    <tableColumn id="6" name="question"/>
    <tableColumn id="7" name="generalization_claim"/>
    <tableColumn id="8" name="start_section"/>
    <tableColumn id="9" name="end_section"/>
    <tableColumn id="10" name="base_artifact_id"/>
    <tableColumn id="11" name="primary_metric"/>
    <tableColumn id="12" name="secondary_metrics"/>
    <tableColumn id="13" name="cv_scheme"/>
    <tableColumn id="14" name="nested_cv"/>
    <tableColumn id="15" name="external_validation_planned"/>
    <tableColumn id="16" name="blocking_strategy"/>
    <tableColumn id="17" name="randomization_strategy"/>
    <tableColumn id="18" name="replication_mode"/>
    <tableColumn id="19" name="replication_strategy"/>
    <tableColumn id="20" name="num_repeats"/>
    <tableColumn id="21" name="random_seed_policy"/>
    <tableColumn id="22" name="stopping_rule"/>
    <tableColumn id="23" name="note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StudyRigorChecklistTable" displayName="StudyRigorChecklistTable" ref="A2:M61" headerRowCount="1">
  <autoFilter ref="A2:M61"/>
  <tableColumns count="13">
    <tableColumn id="1" name="study_id"/>
    <tableColumn id="2" name="leakage_risk_reviewed"/>
    <tableColumn id="3" name="deployment_boundary_defined"/>
    <tableColumn id="4" name="unit_of_analysis_defined"/>
    <tableColumn id="5" name="data_hierarchy_defined"/>
    <tableColumn id="6" name="missing_data_plan"/>
    <tableColumn id="7" name="class_imbalance_plan"/>
    <tableColumn id="8" name="subgroup_plan"/>
    <tableColumn id="9" name="fairness_or_applicability_notes"/>
    <tableColumn id="10" name="reporting_checklist_completed"/>
    <tableColumn id="11" name="risk_of_bias_reviewed"/>
    <tableColumn id="12" name="confirmatory_lock_applied"/>
    <tableColumn id="13" name="analysis_note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AnalysisPlanTable" displayName="AnalysisPlanTable" ref="A2:I61" headerRowCount="1">
  <autoFilter ref="A2:I61"/>
  <tableColumns count="9">
    <tableColumn id="1" name="study_id"/>
    <tableColumn id="2" name="primary_contrast"/>
    <tableColumn id="3" name="secondary_contrasts"/>
    <tableColumn id="4" name="aggregation_level"/>
    <tableColumn id="5" name="uncertainty_method"/>
    <tableColumn id="6" name="multiplicity_handling"/>
    <tableColumn id="7" name="interaction_reporting_policy"/>
    <tableColumn id="8" name="interpretation_rules"/>
    <tableColumn id="9" name="note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FactorsTable" displayName="FactorsTable" ref="A2:F61" headerRowCount="1">
  <autoFilter ref="A2:F61"/>
  <tableColumns count="6">
    <tableColumn id="1" name="study_id"/>
    <tableColumn id="2" name="factor_name"/>
    <tableColumn id="3" name="section_name"/>
    <tableColumn id="4" name="parameter_path"/>
    <tableColumn id="5" name="factor_type"/>
    <tableColumn id="6" name="level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7" name="DesignFixedControlsTable" displayName="DesignFixedControlsTable" ref="A2:C61" headerRowCount="1">
  <autoFilter ref="A2:C61"/>
  <tableColumns count="3">
    <tableColumn id="1" name="study_id"/>
    <tableColumn id="2" name="parameter_path"/>
    <tableColumn id="3" name="value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8" name="DesignConstraintsTable" displayName="DesignConstraintsTable" ref="A2:F61" headerRowCount="1">
  <autoFilter ref="A2:F61"/>
  <tableColumns count="6">
    <tableColumn id="1" name="study_id"/>
    <tableColumn id="2" name="if_factor"/>
    <tableColumn id="3" name="if_level"/>
    <tableColumn id="4" name="disallow_factor"/>
    <tableColumn id="5" name="disallow_level"/>
    <tableColumn id="6" name="reason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9" name="BlockingReplicationTable" displayName="BlockingReplicationTable" ref="A2:E61" headerRowCount="1">
  <autoFilter ref="A2:E61"/>
  <tableColumns count="5">
    <tableColumn id="1" name="study_id"/>
    <tableColumn id="2" name="block_type"/>
    <tableColumn id="3" name="block_value"/>
    <tableColumn id="4" name="repeat_id"/>
    <tableColumn id="5" name="seed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id="10" name="GeneratedDesignMatrixTable" displayName="GeneratedDesignMatrixTable" ref="A2:I61" headerRowCount="1">
  <autoFilter ref="A2:I61"/>
  <tableColumns count="9">
    <tableColumn id="1" name="study_id"/>
    <tableColumn id="2" name="trial_id"/>
    <tableColumn id="3" name="cell_id"/>
    <tableColumn id="4" name="factor_settings_json"/>
    <tableColumn id="5" name="start_section"/>
    <tableColumn id="6" name="end_section"/>
    <tableColumn id="7" name="base_artifact_id"/>
    <tableColumn id="8" name="resolved_params_json"/>
    <tableColumn id="9" name="status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id="11" name="EffectSummariesTable" displayName="EffectSummariesTable" ref="A2:J61" headerRowCount="1">
  <autoFilter ref="A2:J61"/>
  <tableColumns count="10">
    <tableColumn id="1" name="study_id"/>
    <tableColumn id="2" name="summary_type"/>
    <tableColumn id="3" name="summary_key"/>
    <tableColumn id="4" name="factor_level_key"/>
    <tableColumn id="5" name="interaction_key"/>
    <tableColumn id="6" name="primary_metric_name"/>
    <tableColumn id="7" name="mean_primary_metric_value"/>
    <tableColumn id="8" name="best_primary_metric_value"/>
    <tableColumn id="9" name="best_trial_id"/>
    <tableColumn id="10" name="notes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id="12" name="WorkbookArtifactRegistryTable" displayName="WorkbookArtifactRegistryTable" ref="A2:J61" headerRowCount="1">
  <autoFilter ref="A2:J61"/>
  <tableColumns count="10">
    <tableColumn id="1" name="artifact_id"/>
    <tableColumn id="2" name="artifact_type"/>
    <tableColumn id="3" name="run_id"/>
    <tableColumn id="4" name="status"/>
    <tableColumn id="5" name="created_at"/>
    <tableColumn id="6" name="path"/>
    <tableColumn id="7" name="upstream_artifact_ids"/>
    <tableColumn id="8" name="config_hash"/>
    <tableColumn id="9" name="code_ref"/>
    <tableColumn id="10" name="notes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id="13" name="FixedConfigsTable" displayName="FixedConfigsTable" ref="A2:G61" headerRowCount="1">
  <autoFilter ref="A2:G61"/>
  <tableColumns count="7">
    <tableColumn id="1" name="config_key"/>
    <tableColumn id="2" name="config_value"/>
    <tableColumn id="3" name="scope"/>
    <tableColumn id="4" name="locked"/>
    <tableColumn id="5" name="owner"/>
    <tableColumn id="6" name="last_updated"/>
    <tableColumn id="7" name="notes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id="14" name="ObjectivesTable" displayName="ObjectivesTable" ref="A2:H61" headerRowCount="1">
  <autoFilter ref="A2:H61"/>
  <tableColumns count="8">
    <tableColumn id="1" name="objective_id"/>
    <tableColumn id="2" name="objective_text"/>
    <tableColumn id="3" name="stage"/>
    <tableColumn id="4" name="linked_experiment_id"/>
    <tableColumn id="5" name="primary_metric"/>
    <tableColumn id="6" name="success_criterion"/>
    <tableColumn id="7" name="status"/>
    <tableColumn id="8" name="notes"/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id="15" name="MachineStatusTable" displayName="MachineStatusTable" ref="A2:H61" headerRowCount="1">
  <autoFilter ref="A2:H61"/>
  <tableColumns count="8">
    <tableColumn id="1" name="machine_id"/>
    <tableColumn id="2" name="hostname"/>
    <tableColumn id="3" name="environment_name"/>
    <tableColumn id="4" name="python_version"/>
    <tableColumn id="5" name="gpu"/>
    <tableColumn id="6" name="status"/>
    <tableColumn id="7" name="last_checked"/>
    <tableColumn id="8" name="notes"/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id="16" name="TrialResultsTable" displayName="TrialResultsTable" ref="A2:N61" headerRowCount="1">
  <autoFilter ref="A2:N61"/>
  <tableColumns count="14">
    <tableColumn id="1" name="trial_id"/>
    <tableColumn id="2" name="experiment_id"/>
    <tableColumn id="3" name="run_id"/>
    <tableColumn id="4" name="status"/>
    <tableColumn id="5" name="primary_metric_name"/>
    <tableColumn id="6" name="primary_metric_value"/>
    <tableColumn id="7" name="report_path"/>
    <tableColumn id="8" name="metrics_path"/>
    <tableColumn id="9" name="artifact_bundle"/>
    <tableColumn id="10" name="notes"/>
    <tableColumn id="11" name="study_id"/>
    <tableColumn id="12" name="cell_id"/>
    <tableColumn id="13" name="factor_settings_json"/>
    <tableColumn id="14" name="resolved_params_json"/>
  </tableColumns>
  <tableStyleInfo name="TableStyleMedium6" showFirstColumn="0" showLastColumn="0" showRowStripes="1" showColumnStripes="0"/>
</table>
</file>

<file path=xl/tables/table17.xml><?xml version="1.0" encoding="utf-8"?>
<table xmlns="http://schemas.openxmlformats.org/spreadsheetml/2006/main" id="17" name="SummaryOutputsTable" displayName="SummaryOutputsTable" ref="A2:N61" headerRowCount="1">
  <autoFilter ref="A2:N61"/>
  <tableColumns count="14">
    <tableColumn id="1" name="summary_type"/>
    <tableColumn id="2" name="summary_key"/>
    <tableColumn id="3" name="primary_metric_name"/>
    <tableColumn id="4" name="primary_metric_value"/>
    <tableColumn id="5" name="run_id"/>
    <tableColumn id="6" name="experiment_id"/>
    <tableColumn id="7" name="start_section"/>
    <tableColumn id="8" name="end_section"/>
    <tableColumn id="9" name="model"/>
    <tableColumn id="10" name="cv"/>
    <tableColumn id="11" name="target"/>
    <tableColumn id="12" name="xai_method"/>
    <tableColumn id="13" name="report_path"/>
    <tableColumn id="14" name="notes"/>
  </tableColumns>
  <tableStyleInfo name="TableStyleMedium6" showFirstColumn="0" showLastColumn="0" showRowStripes="1" showColumnStripes="0"/>
</table>
</file>

<file path=xl/tables/table18.xml><?xml version="1.0" encoding="utf-8"?>
<table xmlns="http://schemas.openxmlformats.org/spreadsheetml/2006/main" id="18" name="DataSelectionTable" displayName="DataSelectionTable" ref="A1:R41" headerRowCount="1">
  <autoFilter ref="A1:R41"/>
  <tableColumns count="18">
    <tableColumn id="1" name="Data_Slice_ID"/>
    <tableColumn id="2" name="Slice_Name"/>
    <tableColumn id="3" name="Purpose"/>
    <tableColumn id="4" name="Subject_Scope"/>
    <tableColumn id="5" name="Session_Scope"/>
    <tableColumn id="6" name="Time_Window"/>
    <tableColumn id="7" name="Task_Scope"/>
    <tableColumn id="8" name="Modality_Scope"/>
    <tableColumn id="9" name="Target_Type"/>
    <tableColumn id="10" name="Label_Set"/>
    <tableColumn id="11" name="Inclusion_Rule"/>
    <tableColumn id="12" name="Exclusion_Rule"/>
    <tableColumn id="13" name="Class_Balance_Policy"/>
    <tableColumn id="14" name="Minimum_Samples_Rule"/>
    <tableColumn id="15" name="Leakage_Risk"/>
    <tableColumn id="16" name="Valid_Use_Case"/>
    <tableColumn id="17" name="Thesis_Use"/>
    <tableColumn id="18" name="Notes"/>
  </tableColumns>
  <tableStyleInfo name="TableStyleMedium3" showFirstColumn="0" showLastColumn="0" showRowStripes="1" showColumnStripes="0"/>
</table>
</file>

<file path=xl/tables/table19.xml><?xml version="1.0" encoding="utf-8"?>
<table xmlns="http://schemas.openxmlformats.org/spreadsheetml/2006/main" id="19" name="GroupingStrategyTable" displayName="GroupingStrategyTable" ref="A1:O41" headerRowCount="1">
  <autoFilter ref="A1:O41"/>
  <tableColumns count="15">
    <tableColumn id="1" name="Grouping_Strategy_ID"/>
    <tableColumn id="2" name="Strategy_Name"/>
    <tableColumn id="3" name="Split_Family"/>
    <tableColumn id="4" name="Train_Group_Unit"/>
    <tableColumn id="5" name="Test_Group_Unit"/>
    <tableColumn id="6" name="Grouping_Level"/>
    <tableColumn id="7" name="Train_Rule"/>
    <tableColumn id="8" name="Test_Rule"/>
    <tableColumn id="9" name="Leakage_Safeguard"/>
    <tableColumn id="10" name="Suitable_For"/>
    <tableColumn id="11" name="Not_Suitable_For"/>
    <tableColumn id="12" name="Interpretation_Boundary"/>
    <tableColumn id="13" name="Typical_Experiments"/>
    <tableColumn id="14" name="Thesis_Section"/>
    <tableColumn id="15" name="Notes"/>
  </tableColumns>
  <tableStyleInfo name="TableStyleMedium4" showFirstColumn="0" showLastColumn="0" showRowStripes="1" showColumnStripes="0"/>
</table>
</file>

<file path=xl/tables/table20.xml><?xml version="1.0" encoding="utf-8"?>
<table xmlns="http://schemas.openxmlformats.org/spreadsheetml/2006/main" id="20" name="ProfileSubjectTable" displayName="ProfileSubjectTable" ref="A12:E20" headerRowCount="1">
  <autoFilter ref="A12:E20"/>
  <tableColumns count="5">
    <tableColumn id="1" name="Subject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21.xml><?xml version="1.0" encoding="utf-8"?>
<table xmlns="http://schemas.openxmlformats.org/spreadsheetml/2006/main" id="21" name="ProfileSessionTable" displayName="ProfileSessionTable" ref="A24:E34" headerRowCount="1">
  <autoFilter ref="A24:E34"/>
  <tableColumns count="5">
    <tableColumn id="1" name="Session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22.xml><?xml version="1.0" encoding="utf-8"?>
<table xmlns="http://schemas.openxmlformats.org/spreadsheetml/2006/main" id="22" name="ProfileTaskTable" displayName="ProfileTaskTable" ref="A38:E45" headerRowCount="1">
  <autoFilter ref="A38:E45"/>
  <tableColumns count="5">
    <tableColumn id="1" name="Task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23.xml><?xml version="1.0" encoding="utf-8"?>
<table xmlns="http://schemas.openxmlformats.org/spreadsheetml/2006/main" id="23" name="ProfileModalityTable" displayName="ProfileModalityTable" ref="A49:E55" headerRowCount="1">
  <autoFilter ref="A49:E55"/>
  <tableColumns count="5">
    <tableColumn id="1" name="Modality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24.xml><?xml version="1.0" encoding="utf-8"?>
<table xmlns="http://schemas.openxmlformats.org/spreadsheetml/2006/main" id="24" name="ProfileTargetClassTable" displayName="ProfileTargetClassTable" ref="A59:E65" headerRowCount="1">
  <autoFilter ref="A59:E65"/>
  <tableColumns count="5">
    <tableColumn id="1" name="Target_or_Class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25.xml><?xml version="1.0" encoding="utf-8"?>
<table xmlns="http://schemas.openxmlformats.org/spreadsheetml/2006/main" id="25" name="ProfileDataSliceTable" displayName="ProfileDataSliceTable" ref="A70:E80" headerRowCount="1">
  <autoFilter ref="A70:E80"/>
  <tableColumns count="5">
    <tableColumn id="1" name="Data_Slice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26.xml><?xml version="1.0" encoding="utf-8"?>
<table xmlns="http://schemas.openxmlformats.org/spreadsheetml/2006/main" id="26" name="RunLogTable" displayName="RunLogTable" ref="A1:AK41" headerRowCount="1">
  <autoFilter ref="A1:AK41"/>
  <tableColumns count="37">
    <tableColumn id="1" name="Run_ID"/>
    <tableColumn id="2" name="Experiment_ID"/>
    <tableColumn id="3" name="Run_Date"/>
    <tableColumn id="4" name="Dataset_Name"/>
    <tableColumn id="5" name="Data_Subset"/>
    <tableColumn id="6" name="Data_Slice_ID"/>
    <tableColumn id="7" name="Grouping_Strategy_ID"/>
    <tableColumn id="8" name="Code_Commit_or_Version"/>
    <tableColumn id="9" name="Config_File_or_Path"/>
    <tableColumn id="10" name="Random_Seed"/>
    <tableColumn id="11" name="Target"/>
    <tableColumn id="12" name="Split_ID_or_Fold_Definition"/>
    <tableColumn id="13" name="Train_Group_Rule"/>
    <tableColumn id="14" name="Test_Group_Rule"/>
    <tableColumn id="15" name="Transfer_Direction"/>
    <tableColumn id="16" name="Session_Coverage"/>
    <tableColumn id="17" name="Task_Coverage"/>
    <tableColumn id="18" name="Modality_Coverage"/>
    <tableColumn id="19" name="Model"/>
    <tableColumn id="20" name="Feature_Set"/>
    <tableColumn id="21" name="Run_Type"/>
    <tableColumn id="22" name="Affects_Frozen_Pipeline"/>
    <tableColumn id="23" name="Eligible_for_Method_Decision"/>
    <tableColumn id="24" name="Sample_Count"/>
    <tableColumn id="25" name="Class_Counts"/>
    <tableColumn id="26" name="Imbalance_Status"/>
    <tableColumn id="27" name="Leakage_Check_Status"/>
    <tableColumn id="28" name="Primary_Metric_Value"/>
    <tableColumn id="29" name="Secondary_Metric_1"/>
    <tableColumn id="30" name="Secondary_Metric_2"/>
    <tableColumn id="31" name="Robustness_Output_Summary"/>
    <tableColumn id="32" name="Result_Summary"/>
    <tableColumn id="33" name="Preliminary_Interpretation"/>
    <tableColumn id="34" name="Reviewed"/>
    <tableColumn id="35" name="Used_in_Thesis"/>
    <tableColumn id="36" name="Artifact_Path"/>
    <tableColumn id="37" name="Notes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DecisionLogTable" displayName="DecisionLogTable" ref="A1:N9" headerRowCount="1">
  <autoFilter ref="A1:N9"/>
  <tableColumns count="14">
    <tableColumn id="1" name="Decision_ID"/>
    <tableColumn id="2" name="Decision_Topic"/>
    <tableColumn id="3" name="Stage"/>
    <tableColumn id="4" name="Candidate_Options"/>
    <tableColumn id="5" name="Evidence_Experiments"/>
    <tableColumn id="6" name="Decision_Criteria"/>
    <tableColumn id="7" name="Chosen_Option"/>
    <tableColumn id="8" name="Why_Chosen"/>
    <tableColumn id="9" name="Why_Not_Others"/>
    <tableColumn id="10" name="Risks_or_Tradeoffs"/>
    <tableColumn id="11" name="Grounding_Section_or_Source_Packet"/>
    <tableColumn id="12" name="Date_Locked"/>
    <tableColumn id="13" name="Freeze_Status"/>
    <tableColumn id="14" name="Thesis_Use"/>
  </tableColumns>
  <tableStyleInfo name="TableStyleMedium4" showFirstColumn="0" showLastColumn="0" showRowStripes="1" showColumnStripes="0"/>
</table>
</file>

<file path=xl/tables/table28.xml><?xml version="1.0" encoding="utf-8"?>
<table xmlns="http://schemas.openxmlformats.org/spreadsheetml/2006/main" id="28" name="ConfirmatoryTable" displayName="ConfirmatoryTable" ref="A1:L6" headerRowCount="1">
  <autoFilter ref="A1:L6"/>
  <tableColumns count="12">
    <tableColumn id="1" name="Experiment_ID"/>
    <tableColumn id="2" name="Short_Title"/>
    <tableColumn id="3" name="Final_Pipeline_Version"/>
    <tableColumn id="4" name="Claim_Supported"/>
    <tableColumn id="5" name="Status"/>
    <tableColumn id="6" name="Eligible_to_Run"/>
    <tableColumn id="7" name="Completed"/>
    <tableColumn id="8" name="Required_for_Main_Claim"/>
    <tableColumn id="9" name="Ready_for_Chapter_4"/>
    <tableColumn id="10" name="Confirmatory_Eligible"/>
    <tableColumn id="11" name="Main_Result_Summary"/>
    <tableColumn id="12" name="Robustness_Status"/>
  </tableColumns>
  <tableStyleInfo name="TableStyleMedium10" showFirstColumn="0" showLastColumn="0" showRowStripes="1" showColumnStripes="0"/>
</table>
</file>

<file path=xl/tables/table29.xml><?xml version="1.0" encoding="utf-8"?>
<table xmlns="http://schemas.openxmlformats.org/spreadsheetml/2006/main" id="29" name="ThesisMapTable" displayName="ThesisMapTable" ref="A1:H20" headerRowCount="1">
  <autoFilter ref="A1:H20"/>
  <tableColumns count="8">
    <tableColumn id="1" name="Experiment_ID"/>
    <tableColumn id="2" name="Chapter"/>
    <tableColumn id="3" name="Section"/>
    <tableColumn id="4" name="Purpose_in_Thesis"/>
    <tableColumn id="5" name="Main_or_Supporting"/>
    <tableColumn id="6" name="Method_Choice_or_Method_Application_or_Discussion"/>
    <tableColumn id="7" name="What_Claim_or_Decision_It_Supports"/>
    <tableColumn id="8" name="Notes_for_Writing"/>
  </tableColumns>
  <tableStyleInfo name="TableStyleMedium6" showFirstColumn="0" showLastColumn="0" showRowStripes="1" showColumnStripes="0"/>
</table>
</file>

<file path=xl/tables/table30.xml><?xml version="1.0" encoding="utf-8"?>
<table xmlns="http://schemas.openxmlformats.org/spreadsheetml/2006/main" id="30" name="ClaimLedgerTable" displayName="ClaimLedgerTable" ref="A1:H31" headerRowCount="1">
  <autoFilter ref="A1:H31"/>
  <tableColumns count="8">
    <tableColumn id="1" name="Claim_ID"/>
    <tableColumn id="2" name="Claim_Text"/>
    <tableColumn id="3" name="Claim_Type"/>
    <tableColumn id="4" name="Supported_By_Experiments"/>
    <tableColumn id="5" name="Evidence_Status"/>
    <tableColumn id="6" name="Writing_Location"/>
    <tableColumn id="7" name="Interpretation_Limit"/>
    <tableColumn id="8" name="Notes"/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id="31" name="AIUsageTable" displayName="AIUsageTable" ref="A1:J41" headerRowCount="1">
  <autoFilter ref="A1:J41"/>
  <tableColumns count="10">
    <tableColumn id="1" name="Entry_ID"/>
    <tableColumn id="2" name="Date"/>
    <tableColumn id="3" name="Task"/>
    <tableColumn id="4" name="Tool"/>
    <tableColumn id="5" name="Input_Summary"/>
    <tableColumn id="6" name="Output_Summary"/>
    <tableColumn id="7" name="What_Was_Adopted"/>
    <tableColumn id="8" name="Human_Verification_Status"/>
    <tableColumn id="9" name="Thesis_Use"/>
    <tableColumn id="10" name="Notes"/>
  </tableColumns>
  <tableStyleInfo name="TableStyleMedium5" showFirstColumn="0" showLastColumn="0" showRowStripes="1" showColumnStripes="0"/>
</table>
</file>

<file path=xl/tables/table32.xml><?xml version="1.0" encoding="utf-8"?>
<table xmlns="http://schemas.openxmlformats.org/spreadsheetml/2006/main" id="32" name="EthicsTable" displayName="EthicsTable" ref="A1:H31" headerRowCount="1">
  <autoFilter ref="A1:H31"/>
  <tableColumns count="8">
    <tableColumn id="1" name="Note_ID"/>
    <tableColumn id="2" name="Experiment_ID_or_Decision_ID"/>
    <tableColumn id="3" name="Topic"/>
    <tableColumn id="4" name="Risk_or_Concern"/>
    <tableColumn id="5" name="Mitigation_or_Response"/>
    <tableColumn id="6" name="Thesis_Section"/>
    <tableColumn id="7" name="Status"/>
    <tableColumn id="8" name="Not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 /><Relationship Type="http://schemas.openxmlformats.org/officeDocument/2006/relationships/table" Target="/xl/tables/table21.xml" Id="rId2" /><Relationship Type="http://schemas.openxmlformats.org/officeDocument/2006/relationships/table" Target="/xl/tables/table22.xml" Id="rId3" /><Relationship Type="http://schemas.openxmlformats.org/officeDocument/2006/relationships/table" Target="/xl/tables/table23.xml" Id="rId4" /><Relationship Type="http://schemas.openxmlformats.org/officeDocument/2006/relationships/table" Target="/xl/tables/table24.xml" Id="rId5" /><Relationship Type="http://schemas.openxmlformats.org/officeDocument/2006/relationships/table" Target="/xl/tables/table25.xml" Id="rId6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Thesis Experiment Program Workbook (v2)</t>
        </is>
      </c>
    </row>
    <row r="3">
      <c r="A3" s="2" t="inlineStr">
        <is>
          <t>Purpose</t>
        </is>
      </c>
      <c r="B3" s="3" t="inlineStr">
        <is>
          <t>Scientific control system for thesis experiment governance: pre-interpretation design, lock tracking, leakage-aware execution traceability, and chapter-ready evidence mapping.</t>
        </is>
      </c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6">
      <c r="A6" s="2" t="inlineStr">
        <is>
          <t>Governance layers</t>
        </is>
      </c>
      <c r="B6" s="3" t="inlineStr">
        <is>
          <t>Experiment governance documents what each experiment is allowed to conclude. Data-slice governance documents what subset policy and grouping strategy were used in each run and what claims they can support.</t>
        </is>
      </c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9">
      <c r="A9" s="2" t="inlineStr">
        <is>
          <t>Evidence tiers</t>
        </is>
      </c>
      <c r="B9" s="3" t="inlineStr">
        <is>
          <t>Primary confirmatory; Primary-supporting robustness; Secondary decision-support; Exploratory extension. Each tier has explicit interpretation boundaries.</t>
        </is>
      </c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2">
      <c r="A12" s="2" t="inlineStr">
        <is>
          <t>Stage system</t>
        </is>
      </c>
      <c r="B12" s="3" t="inlineStr">
        <is>
          <t>Stage 1 Target lock -&gt; Stage 2 Split lock -&gt; Stage 3 Model lock -&gt; Stage 4 Feature/preprocessing lock -&gt; Stage 5 Confirmatory analysis -&gt; Stage 6 Robustness analysis -&gt; Stage 7 Exploratory extension.</t>
        </is>
      </c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5">
      <c r="A15" s="2" t="inlineStr">
        <is>
          <t>Freeze policy</t>
        </is>
      </c>
      <c r="B15" s="3" t="inlineStr">
        <is>
          <t>Confirmatory eligibility requires D01-D07 locked in Decision_Log. Chapter 4 readiness additionally requires required confirmatory/supporting items completed and marked Ready_for_Chapter_4=YES.</t>
        </is>
      </c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8">
      <c r="A18" s="2" t="inlineStr">
        <is>
          <t>Data_Selection_Design</t>
        </is>
      </c>
      <c r="B18" s="3" t="inlineStr">
        <is>
          <t>Defines allowed data slices (subject/session/task/modality/target scope, inclusion/exclusion, class-balance policy, leakage risk, and thesis-use boundary).</t>
        </is>
      </c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1">
      <c r="A21" s="2" t="inlineStr">
        <is>
          <t>Grouping_Strategy_Map</t>
        </is>
      </c>
      <c r="B21" s="3" t="inlineStr">
        <is>
          <t>Defines split family, train/test grouping units, leakage safeguards, and interpretation boundaries for each grouping strategy identifier.</t>
        </is>
      </c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4">
      <c r="A24" s="2" t="inlineStr">
        <is>
          <t>Data_Profile</t>
        </is>
      </c>
      <c r="B24" s="3" t="inlineStr">
        <is>
          <t>Structured worksheet for manual or imported descriptive counts by subject/session/task/modality/target/class and by Data_Slice_ID, with formula-based sparsity/imbalance flags.</t>
        </is>
      </c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7">
      <c r="A27" s="2" t="inlineStr">
        <is>
          <t>Claim boundaries</t>
        </is>
      </c>
      <c r="B27" s="3" t="inlineStr">
        <is>
          <t>Within-person held-out-session claims and cross-person transfer claims are different scientific claims and must not be interpreted interchangeably.</t>
        </is>
      </c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30">
      <c r="A30" s="2" t="inlineStr">
        <is>
          <t>Weak-split policy</t>
        </is>
      </c>
      <c r="B30" s="3" t="inlineStr">
        <is>
          <t>Weak split results are allowed only as inflation demonstrations and diagnostic contrast. They are not confirmatory evidence.</t>
        </is>
      </c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3">
      <c r="A33" s="2" t="inlineStr">
        <is>
          <t>Governance additions</t>
        </is>
      </c>
      <c r="B33" s="3" t="inlineStr">
        <is>
          <t>Claim_Ledger enforces claim discipline. AI_Usage_Log supports tool transparency and human verification traceability. Ethics_Governance_Notes supports risk/mitigation accountability.</t>
        </is>
      </c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6">
      <c r="A36" s="2" t="inlineStr">
        <is>
          <t>Workflow</t>
        </is>
      </c>
      <c r="B36" s="3" t="inlineStr">
        <is>
          <t>Master_Experiments + Data_Selection_Design + Grouping_Strategy_Map -&gt; Run_Log -&gt; Decision_Log -&gt; Confirmatory_Set -&gt; Claim_Ledger/AI_Usage_Log/Ethics_Governance_Notes -&gt; Thesis_Map -&gt; Dashboard.</t>
        </is>
      </c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9">
      <c r="A39" s="5" t="inlineStr">
        <is>
          <t>This workbook is aligned to thesis method-choice/method-application workflow, data-slice/grouping governance, and leakage-aware reporting requirements.</t>
        </is>
      </c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5">
      <c r="A45" t="inlineStr">
        <is>
          <t>Schema_Metadata_Key</t>
        </is>
      </c>
      <c r="B45" t="inlineStr">
        <is>
          <t>Value</t>
        </is>
      </c>
    </row>
    <row r="46">
      <c r="A46" t="inlineStr">
        <is>
          <t>workbook_schema_version</t>
        </is>
      </c>
      <c r="B46" t="inlineStr">
        <is>
          <t>workbook-v1</t>
        </is>
      </c>
    </row>
    <row r="47">
      <c r="A47" t="inlineStr">
        <is>
          <t>compiled_manifest_schema_version</t>
        </is>
      </c>
      <c r="B47" t="inlineStr">
        <is>
          <t>compiled-manifest-v1</t>
        </is>
      </c>
    </row>
    <row r="48">
      <c r="A48" t="inlineStr">
        <is>
          <t>artifact_schema_version</t>
        </is>
      </c>
      <c r="B48" t="inlineStr">
        <is>
          <t>artifact-v1</t>
        </is>
      </c>
    </row>
    <row r="49">
      <c r="A49" t="inlineStr">
        <is>
          <t>workbook_writeback_schema_version</t>
        </is>
      </c>
      <c r="B49" t="inlineStr">
        <is>
          <t>workbook-writeback-v1</t>
        </is>
      </c>
    </row>
    <row r="50">
      <c r="A50" t="inlineStr">
        <is>
          <t>summary_result_schema_version</t>
        </is>
      </c>
      <c r="B50" t="inlineStr">
        <is>
          <t>summary-result-v1</t>
        </is>
      </c>
    </row>
    <row r="52">
      <c r="A52" s="6" t="inlineStr">
        <is>
          <t>Generated by create_thesis_experiment_workbook.py (v2)</t>
        </is>
      </c>
    </row>
  </sheetData>
  <mergeCells count="14">
    <mergeCell ref="B9:I10"/>
    <mergeCell ref="B12:I13"/>
    <mergeCell ref="B18:I19"/>
    <mergeCell ref="B3:I4"/>
    <mergeCell ref="B36:I37"/>
    <mergeCell ref="B33:I34"/>
    <mergeCell ref="A1:I1"/>
    <mergeCell ref="B6:I7"/>
    <mergeCell ref="B21:I22"/>
    <mergeCell ref="B15:I16"/>
    <mergeCell ref="A39:I40"/>
    <mergeCell ref="B24:I25"/>
    <mergeCell ref="B30:I31"/>
    <mergeCell ref="B27:I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  <col width="32" customWidth="1" min="4" max="4"/>
    <col width="28" customWidth="1" min="5" max="5"/>
    <col width="10" customWidth="1" min="6" max="6"/>
    <col width="24" customWidth="1" min="7" max="7"/>
    <col width="46" customWidth="1" min="8" max="8"/>
    <col width="34" customWidth="1" min="9" max="9"/>
    <col width="24" customWidth="1" min="10" max="10"/>
    <col width="42" customWidth="1" min="11" max="11"/>
    <col width="30" customWidth="1" min="12" max="12"/>
    <col width="30" customWidth="1" min="13" max="13"/>
    <col width="34" customWidth="1" min="14" max="14"/>
    <col width="24" customWidth="1" min="15" max="15"/>
    <col width="36" customWidth="1" min="16" max="16"/>
    <col width="24" customWidth="1" min="17" max="17"/>
    <col width="18" customWidth="1" min="18" max="18"/>
    <col width="26" customWidth="1" min="19" max="19"/>
    <col width="36" customWidth="1" min="20" max="20"/>
    <col width="36" customWidth="1" min="21" max="21"/>
    <col width="34" customWidth="1" min="22" max="22"/>
    <col width="36" customWidth="1" min="23" max="23"/>
    <col width="34" customWidth="1" min="24" max="24"/>
    <col width="30" customWidth="1" min="25" max="25"/>
    <col width="36" customWidth="1" min="26" max="26"/>
    <col width="14" customWidth="1" min="27" max="27"/>
    <col width="18" customWidth="1" min="28" max="28"/>
    <col width="32" customWidth="1" min="29" max="29"/>
    <col width="28" customWidth="1" min="30" max="30"/>
    <col width="32" customWidth="1" min="31" max="31"/>
    <col width="16" customWidth="1" min="32" max="32"/>
  </cols>
  <sheetData>
    <row r="1">
      <c r="A1" s="7" t="inlineStr">
        <is>
          <t>Experiment_ID</t>
        </is>
      </c>
      <c r="B1" s="7" t="inlineStr">
        <is>
          <t>Short_Title</t>
        </is>
      </c>
      <c r="C1" s="7" t="inlineStr">
        <is>
          <t>Category</t>
        </is>
      </c>
      <c r="D1" s="7" t="inlineStr">
        <is>
          <t>Evidential_Role</t>
        </is>
      </c>
      <c r="E1" s="7" t="inlineStr">
        <is>
          <t>Stage</t>
        </is>
      </c>
      <c r="F1" s="7" t="inlineStr">
        <is>
          <t>Priority</t>
        </is>
      </c>
      <c r="G1" s="7" t="inlineStr">
        <is>
          <t>Decision_Supported</t>
        </is>
      </c>
      <c r="H1" s="7" t="inlineStr">
        <is>
          <t>Exact_Question</t>
        </is>
      </c>
      <c r="I1" s="7" t="inlineStr">
        <is>
          <t>Hypothesis_or_Expectation</t>
        </is>
      </c>
      <c r="J1" s="7" t="inlineStr">
        <is>
          <t>Manipulated_Factor</t>
        </is>
      </c>
      <c r="K1" s="7" t="inlineStr">
        <is>
          <t>Held_Constant_Controls</t>
        </is>
      </c>
      <c r="L1" s="7" t="inlineStr">
        <is>
          <t>Dataset_Scope</t>
        </is>
      </c>
      <c r="M1" s="7" t="inlineStr">
        <is>
          <t>Target_Definition</t>
        </is>
      </c>
      <c r="N1" s="7" t="inlineStr">
        <is>
          <t>Split_Logic</t>
        </is>
      </c>
      <c r="O1" s="7" t="inlineStr">
        <is>
          <t>Leakage_Risk</t>
        </is>
      </c>
      <c r="P1" s="7" t="inlineStr">
        <is>
          <t>Leakage_Control</t>
        </is>
      </c>
      <c r="Q1" s="7" t="inlineStr">
        <is>
          <t>Models_Compared</t>
        </is>
      </c>
      <c r="R1" s="7" t="inlineStr">
        <is>
          <t>Primary_Metric</t>
        </is>
      </c>
      <c r="S1" s="7" t="inlineStr">
        <is>
          <t>Secondary_Metrics</t>
        </is>
      </c>
      <c r="T1" s="7" t="inlineStr">
        <is>
          <t>Robustness_Checks</t>
        </is>
      </c>
      <c r="U1" s="7" t="inlineStr">
        <is>
          <t>Decision_Criterion</t>
        </is>
      </c>
      <c r="V1" s="7" t="inlineStr">
        <is>
          <t>Success_Pattern</t>
        </is>
      </c>
      <c r="W1" s="7" t="inlineStr">
        <is>
          <t>Failure_or_Warning_Pattern</t>
        </is>
      </c>
      <c r="X1" s="7" t="inlineStr">
        <is>
          <t>Threats_to_Validity</t>
        </is>
      </c>
      <c r="Y1" s="7" t="inlineStr">
        <is>
          <t>Reporting_Destination</t>
        </is>
      </c>
      <c r="Z1" s="7" t="inlineStr">
        <is>
          <t>Interpretation_Boundary</t>
        </is>
      </c>
      <c r="AA1" s="7" t="inlineStr">
        <is>
          <t>Status</t>
        </is>
      </c>
      <c r="AB1" s="7" t="inlineStr">
        <is>
          <t>Owner</t>
        </is>
      </c>
      <c r="AC1" s="7" t="inlineStr">
        <is>
          <t>Outcome_Summary</t>
        </is>
      </c>
      <c r="AD1" s="7" t="inlineStr">
        <is>
          <t>Decision_Taken</t>
        </is>
      </c>
      <c r="AE1" s="7" t="inlineStr">
        <is>
          <t>Notes</t>
        </is>
      </c>
      <c r="AF1" s="7" t="inlineStr">
        <is>
          <t>Experiment_Ready</t>
        </is>
      </c>
    </row>
    <row r="2">
      <c r="A2" s="8" t="inlineStr">
        <is>
          <t>E01</t>
        </is>
      </c>
      <c r="B2" s="8" t="inlineStr">
        <is>
          <t>Target granularity experiment</t>
        </is>
      </c>
      <c r="C2" s="8" t="inlineStr">
        <is>
          <t>Target-definition</t>
        </is>
      </c>
      <c r="D2" s="8" t="inlineStr">
        <is>
          <t>Secondary decision-support</t>
        </is>
      </c>
      <c r="E2" s="8" t="inlineStr">
        <is>
          <t>Stage 1 - Target lock</t>
        </is>
      </c>
      <c r="F2" s="8" t="inlineStr">
        <is>
          <t>High</t>
        </is>
      </c>
      <c r="G2" s="8" t="inlineStr">
        <is>
          <t>Final target lock</t>
        </is>
      </c>
      <c r="H2" s="8" t="inlineStr">
        <is>
          <t>Should the thesis use fine-grained emotion labels, three-class coarse affect, or binary valence-like labels?</t>
        </is>
      </c>
      <c r="I2" s="8" t="inlineStr">
        <is>
          <t>coarse_affect likely balances construct validity, class balance, and learnability.</t>
        </is>
      </c>
      <c r="J2" s="8" t="inlineStr">
        <is>
          <t>Target definition</t>
        </is>
      </c>
      <c r="K2" s="8" t="inlineStr">
        <is>
          <t>Dataset index version, train-only fitting policy, metric definitions, seed policy, artifact schema.</t>
        </is>
      </c>
      <c r="L2" s="8" t="inlineStr">
        <is>
          <t>Internal repeated-session BAS2 dataset (sub-001 and sub-002) unless explicitly external.</t>
        </is>
      </c>
      <c r="M2" s="8" t="inlineStr">
        <is>
          <t>fine emotion vs coarse_affect vs binary valence-like</t>
        </is>
      </c>
      <c r="N2" s="8" t="inlineStr">
        <is>
          <t>within_subject_loso_session for primary comparison; frozen transfer as secondary check</t>
        </is>
      </c>
      <c r="O2" s="8" t="inlineStr">
        <is>
          <t>Performance inflation if split logic or fit scope leaks train/test information.</t>
        </is>
      </c>
      <c r="P2" s="8" t="inlineStr">
        <is>
          <t>Predefined split manifests, train-only fitting, frozen transfer where applicable, no test-driven tuning.</t>
        </is>
      </c>
      <c r="Q2" s="8" t="inlineStr">
        <is>
          <t>ridge baseline unless model family is manipulated.</t>
        </is>
      </c>
      <c r="R2" s="8" t="inlineStr">
        <is>
          <t>Balanced accuracy</t>
        </is>
      </c>
      <c r="S2" s="8" t="inlineStr">
        <is>
          <t>Macro-F1; class-wise recall; accuracy</t>
        </is>
      </c>
      <c r="T2" s="8" t="inlineStr">
        <is>
          <t>Fold-level checks and stress controls where relevant.</t>
        </is>
      </c>
      <c r="U2" s="8" t="inlineStr">
        <is>
          <t>Prefer target balancing construct validity, class balance, sample sufficiency, and learnability under claim-matched evaluation.</t>
        </is>
      </c>
      <c r="V2" s="8" t="inlineStr">
        <is>
          <t>Stable claim-consistent performance without leakage indicators.</t>
        </is>
      </c>
      <c r="W2" s="8" t="inlineStr">
        <is>
          <t>Weak-split inflation, instability, class collapse, or directionally inconsistent evidence.</t>
        </is>
      </c>
      <c r="X2" s="8" t="inlineStr">
        <is>
          <t>Class imbalance, sample limits, domain shift, and model/split sensitivity.</t>
        </is>
      </c>
      <c r="Y2" s="8" t="inlineStr">
        <is>
          <t>Chapter 3 Method choice</t>
        </is>
      </c>
      <c r="Z2" s="8" t="inlineStr">
        <is>
          <t>Interpret only under stated split logic/evidence tier; no causal or localization claims.</t>
        </is>
      </c>
      <c r="AA2" s="8" t="inlineStr">
        <is>
          <t>Planned</t>
        </is>
      </c>
      <c r="AB2" s="8" t="inlineStr">
        <is>
          <t>Khaled (thesis author)</t>
        </is>
      </c>
      <c r="AC2" s="8" t="inlineStr"/>
      <c r="AD2" s="8" t="inlineStr"/>
      <c r="AE2" s="8" t="inlineStr"/>
      <c r="AF2" s="8">
        <f>IF($AA2="Dropped","N/A",IF(AND($H2&lt;&gt;"",$J2&lt;&gt;"",$K2&lt;&gt;"",$M2&lt;&gt;"",$N2&lt;&gt;"",$P2&lt;&gt;"",$R2&lt;&gt;"",$U2&lt;&gt;"",$V2&lt;&gt;"",$W2&lt;&gt;"",$Z2&lt;&gt;"",$Y2&lt;&gt;""),"READY","INCOMPLETE"))</f>
        <v/>
      </c>
    </row>
    <row r="3">
      <c r="A3" s="3" t="inlineStr">
        <is>
          <t>E02</t>
        </is>
      </c>
      <c r="B3" s="3" t="inlineStr">
        <is>
          <t>Task pooling experiment</t>
        </is>
      </c>
      <c r="C3" s="3" t="inlineStr">
        <is>
          <t>Target-definition</t>
        </is>
      </c>
      <c r="D3" s="3" t="inlineStr">
        <is>
          <t>Secondary decision-support</t>
        </is>
      </c>
      <c r="E3" s="3" t="inlineStr">
        <is>
          <t>Stage 1 - Target lock</t>
        </is>
      </c>
      <c r="F3" s="3" t="inlineStr">
        <is>
          <t>Medium</t>
        </is>
      </c>
      <c r="G3" s="3" t="inlineStr">
        <is>
          <t>Task pooling policy</t>
        </is>
      </c>
      <c r="H3" s="3" t="inlineStr">
        <is>
          <t>Should the main target be learned across all tasks together, or separately by task?</t>
        </is>
      </c>
      <c r="I3" s="3" t="inlineStr">
        <is>
          <t>Evaluate under leakage-aware claim-matched split logic before interpretation.</t>
        </is>
      </c>
      <c r="J3" s="3" t="inlineStr">
        <is>
          <t>Pooling strategy by task</t>
        </is>
      </c>
      <c r="K3" s="3" t="inlineStr">
        <is>
          <t>Dataset index version, train-only fitting policy, metric definitions, seed policy, artifact schema.</t>
        </is>
      </c>
      <c r="L3" s="3" t="inlineStr">
        <is>
          <t>Internal repeated-session BAS2 dataset (sub-001 and sub-002) unless explicitly external.</t>
        </is>
      </c>
      <c r="M3" s="3" t="inlineStr">
        <is>
          <t>coarse_affect unless this experiment manipulates target granularity.</t>
        </is>
      </c>
      <c r="N3" s="3" t="inlineStr">
        <is>
          <t>Claim-matched leakage-safe split strategy.</t>
        </is>
      </c>
      <c r="O3" s="3" t="inlineStr">
        <is>
          <t>Performance inflation if split logic or fit scope leaks train/test information.</t>
        </is>
      </c>
      <c r="P3" s="3" t="inlineStr">
        <is>
          <t>Predefined split manifests, train-only fitting, frozen transfer where applicable, no test-driven tuning.</t>
        </is>
      </c>
      <c r="Q3" s="3" t="inlineStr">
        <is>
          <t>ridge baseline unless model family is manipulated.</t>
        </is>
      </c>
      <c r="R3" s="3" t="inlineStr">
        <is>
          <t>Balanced accuracy</t>
        </is>
      </c>
      <c r="S3" s="3" t="inlineStr">
        <is>
          <t>Macro-F1; class-wise recall; accuracy</t>
        </is>
      </c>
      <c r="T3" s="3" t="inlineStr">
        <is>
          <t>Fold-level checks and stress controls where relevant.</t>
        </is>
      </c>
      <c r="U3" s="3" t="inlineStr">
        <is>
          <t>Pre-specified criterion recorded before interpretation.</t>
        </is>
      </c>
      <c r="V3" s="3" t="inlineStr">
        <is>
          <t>Stable claim-consistent performance without leakage indicators.</t>
        </is>
      </c>
      <c r="W3" s="3" t="inlineStr">
        <is>
          <t>Weak-split inflation, instability, class collapse, or directionally inconsistent evidence.</t>
        </is>
      </c>
      <c r="X3" s="3" t="inlineStr">
        <is>
          <t>Class imbalance, sample limits, domain shift, and model/split sensitivity.</t>
        </is>
      </c>
      <c r="Y3" s="3" t="inlineStr">
        <is>
          <t>Chapter 3 Method choice</t>
        </is>
      </c>
      <c r="Z3" s="3" t="inlineStr">
        <is>
          <t>Interpret only under stated split logic/evidence tier; no causal or localization claims.</t>
        </is>
      </c>
      <c r="AA3" s="3" t="inlineStr">
        <is>
          <t>Planned</t>
        </is>
      </c>
      <c r="AB3" s="3" t="inlineStr">
        <is>
          <t>Khaled (thesis author)</t>
        </is>
      </c>
      <c r="AC3" s="3" t="inlineStr"/>
      <c r="AD3" s="3" t="inlineStr"/>
      <c r="AE3" s="3" t="inlineStr"/>
      <c r="AF3" s="3">
        <f>IF($AA3="Dropped","N/A",IF(AND($H3&lt;&gt;"",$J3&lt;&gt;"",$K3&lt;&gt;"",$M3&lt;&gt;"",$N3&lt;&gt;"",$P3&lt;&gt;"",$R3&lt;&gt;"",$U3&lt;&gt;"",$V3&lt;&gt;"",$W3&lt;&gt;"",$Z3&lt;&gt;"",$Y3&lt;&gt;""),"READY","INCOMPLETE"))</f>
        <v/>
      </c>
    </row>
    <row r="4">
      <c r="A4" s="8" t="inlineStr">
        <is>
          <t>E03</t>
        </is>
      </c>
      <c r="B4" s="8" t="inlineStr">
        <is>
          <t>Modality pooling experiment</t>
        </is>
      </c>
      <c r="C4" s="8" t="inlineStr">
        <is>
          <t>Target-definition</t>
        </is>
      </c>
      <c r="D4" s="8" t="inlineStr">
        <is>
          <t>Secondary decision-support</t>
        </is>
      </c>
      <c r="E4" s="8" t="inlineStr">
        <is>
          <t>Stage 1 - Target lock</t>
        </is>
      </c>
      <c r="F4" s="8" t="inlineStr">
        <is>
          <t>Medium</t>
        </is>
      </c>
      <c r="G4" s="8" t="inlineStr">
        <is>
          <t>Modality pooling policy</t>
        </is>
      </c>
      <c r="H4" s="8" t="inlineStr">
        <is>
          <t>Should audio, video, and audiovisual conditions be pooled or modeled separately?</t>
        </is>
      </c>
      <c r="I4" s="8" t="inlineStr">
        <is>
          <t>Evaluate under leakage-aware claim-matched split logic before interpretation.</t>
        </is>
      </c>
      <c r="J4" s="8" t="inlineStr">
        <is>
          <t>Pooling strategy by modality</t>
        </is>
      </c>
      <c r="K4" s="8" t="inlineStr">
        <is>
          <t>Dataset index version, train-only fitting policy, metric definitions, seed policy, artifact schema.</t>
        </is>
      </c>
      <c r="L4" s="8" t="inlineStr">
        <is>
          <t>Internal repeated-session BAS2 dataset (sub-001 and sub-002) unless explicitly external.</t>
        </is>
      </c>
      <c r="M4" s="8" t="inlineStr">
        <is>
          <t>coarse_affect unless this experiment manipulates target granularity.</t>
        </is>
      </c>
      <c r="N4" s="8" t="inlineStr">
        <is>
          <t>Claim-matched leakage-safe split strategy.</t>
        </is>
      </c>
      <c r="O4" s="8" t="inlineStr">
        <is>
          <t>Performance inflation if split logic or fit scope leaks train/test information.</t>
        </is>
      </c>
      <c r="P4" s="8" t="inlineStr">
        <is>
          <t>Predefined split manifests, train-only fitting, frozen transfer where applicable, no test-driven tuning.</t>
        </is>
      </c>
      <c r="Q4" s="8" t="inlineStr">
        <is>
          <t>ridge baseline unless model family is manipulated.</t>
        </is>
      </c>
      <c r="R4" s="8" t="inlineStr">
        <is>
          <t>Balanced accuracy</t>
        </is>
      </c>
      <c r="S4" s="8" t="inlineStr">
        <is>
          <t>Macro-F1; class-wise recall; accuracy</t>
        </is>
      </c>
      <c r="T4" s="8" t="inlineStr">
        <is>
          <t>Fold-level checks and stress controls where relevant.</t>
        </is>
      </c>
      <c r="U4" s="8" t="inlineStr">
        <is>
          <t>Pre-specified criterion recorded before interpretation.</t>
        </is>
      </c>
      <c r="V4" s="8" t="inlineStr">
        <is>
          <t>Stable claim-consistent performance without leakage indicators.</t>
        </is>
      </c>
      <c r="W4" s="8" t="inlineStr">
        <is>
          <t>Weak-split inflation, instability, class collapse, or directionally inconsistent evidence.</t>
        </is>
      </c>
      <c r="X4" s="8" t="inlineStr">
        <is>
          <t>Class imbalance, sample limits, domain shift, and model/split sensitivity.</t>
        </is>
      </c>
      <c r="Y4" s="8" t="inlineStr">
        <is>
          <t>Chapter 3 Method choice</t>
        </is>
      </c>
      <c r="Z4" s="8" t="inlineStr">
        <is>
          <t>Interpret only under stated split logic/evidence tier; no causal or localization claims.</t>
        </is>
      </c>
      <c r="AA4" s="8" t="inlineStr">
        <is>
          <t>Planned</t>
        </is>
      </c>
      <c r="AB4" s="8" t="inlineStr">
        <is>
          <t>Khaled (thesis author)</t>
        </is>
      </c>
      <c r="AC4" s="8" t="inlineStr"/>
      <c r="AD4" s="8" t="inlineStr"/>
      <c r="AE4" s="8" t="inlineStr"/>
      <c r="AF4" s="8">
        <f>IF($AA4="Dropped","N/A",IF(AND($H4&lt;&gt;"",$J4&lt;&gt;"",$K4&lt;&gt;"",$M4&lt;&gt;"",$N4&lt;&gt;"",$P4&lt;&gt;"",$R4&lt;&gt;"",$U4&lt;&gt;"",$V4&lt;&gt;"",$W4&lt;&gt;"",$Z4&lt;&gt;"",$Y4&lt;&gt;""),"READY","INCOMPLETE"))</f>
        <v/>
      </c>
    </row>
    <row r="5">
      <c r="A5" s="3" t="inlineStr">
        <is>
          <t>E04</t>
        </is>
      </c>
      <c r="B5" s="3" t="inlineStr">
        <is>
          <t>Split-strength stress test</t>
        </is>
      </c>
      <c r="C5" s="3" t="inlineStr">
        <is>
          <t>Split-design</t>
        </is>
      </c>
      <c r="D5" s="3" t="inlineStr">
        <is>
          <t>Secondary decision-support</t>
        </is>
      </c>
      <c r="E5" s="3" t="inlineStr">
        <is>
          <t>Stage 2 - Split lock</t>
        </is>
      </c>
      <c r="F5" s="3" t="inlineStr">
        <is>
          <t>High</t>
        </is>
      </c>
      <c r="G5" s="3" t="inlineStr">
        <is>
          <t>Primary split policy</t>
        </is>
      </c>
      <c r="H5" s="3" t="inlineStr">
        <is>
          <t>How much do conclusions change under weaker split strategies compared with session-held-out evaluation?</t>
        </is>
      </c>
      <c r="I5" s="3" t="inlineStr">
        <is>
          <t>Evaluate under leakage-aware claim-matched split logic before interpretation.</t>
        </is>
      </c>
      <c r="J5" s="3" t="inlineStr">
        <is>
          <t>Split logic</t>
        </is>
      </c>
      <c r="K5" s="3" t="inlineStr">
        <is>
          <t>Dataset index version, train-only fitting policy, metric definitions, seed policy, artifact schema.</t>
        </is>
      </c>
      <c r="L5" s="3" t="inlineStr">
        <is>
          <t>Internal repeated-session BAS2 dataset (sub-001 and sub-002) unless explicitly external.</t>
        </is>
      </c>
      <c r="M5" s="3" t="inlineStr">
        <is>
          <t>coarse_affect unless this experiment manipulates target granularity.</t>
        </is>
      </c>
      <c r="N5" s="3" t="inlineStr">
        <is>
          <t>record-wise random split vs weaker grouped split vs within-person leave-one-session-out</t>
        </is>
      </c>
      <c r="O5" s="3" t="inlineStr">
        <is>
          <t>High under weak splits</t>
        </is>
      </c>
      <c r="P5" s="3" t="inlineStr">
        <is>
          <t>Predefined split manifests, train-only fitting, frozen transfer where applicable, no test-driven tuning.</t>
        </is>
      </c>
      <c r="Q5" s="3" t="inlineStr">
        <is>
          <t>ridge baseline unless model family is manipulated.</t>
        </is>
      </c>
      <c r="R5" s="3" t="inlineStr">
        <is>
          <t>Balanced accuracy</t>
        </is>
      </c>
      <c r="S5" s="3" t="inlineStr">
        <is>
          <t>Macro-F1; class-wise recall; accuracy</t>
        </is>
      </c>
      <c r="T5" s="3" t="inlineStr">
        <is>
          <t>Fold-level checks and stress controls where relevant.</t>
        </is>
      </c>
      <c r="U5" s="3" t="inlineStr">
        <is>
          <t>Retain strictest split matching claim; weaker splits only as inflation/leakage demonstrations.</t>
        </is>
      </c>
      <c r="V5" s="3" t="inlineStr">
        <is>
          <t>Stable claim-consistent performance without leakage indicators.</t>
        </is>
      </c>
      <c r="W5" s="3" t="inlineStr">
        <is>
          <t>Weak-split inflation, instability, class collapse, or directionally inconsistent evidence.</t>
        </is>
      </c>
      <c r="X5" s="3" t="inlineStr">
        <is>
          <t>Class imbalance, sample limits, domain shift, and model/split sensitivity.</t>
        </is>
      </c>
      <c r="Y5" s="3" t="inlineStr">
        <is>
          <t>Chapter 3 Method choice</t>
        </is>
      </c>
      <c r="Z5" s="3" t="inlineStr">
        <is>
          <t>Interpret only under stated split logic/evidence tier; no causal or localization claims.</t>
        </is>
      </c>
      <c r="AA5" s="3" t="inlineStr">
        <is>
          <t>Planned</t>
        </is>
      </c>
      <c r="AB5" s="3" t="inlineStr">
        <is>
          <t>Khaled (thesis author)</t>
        </is>
      </c>
      <c r="AC5" s="3" t="inlineStr"/>
      <c r="AD5" s="3" t="inlineStr"/>
      <c r="AE5" s="3" t="inlineStr"/>
      <c r="AF5" s="3">
        <f>IF($AA5="Dropped","N/A",IF(AND($H5&lt;&gt;"",$J5&lt;&gt;"",$K5&lt;&gt;"",$M5&lt;&gt;"",$N5&lt;&gt;"",$P5&lt;&gt;"",$R5&lt;&gt;"",$U5&lt;&gt;"",$V5&lt;&gt;"",$W5&lt;&gt;"",$Z5&lt;&gt;"",$Y5&lt;&gt;""),"READY","INCOMPLETE"))</f>
        <v/>
      </c>
    </row>
    <row r="6">
      <c r="A6" s="8" t="inlineStr">
        <is>
          <t>E05</t>
        </is>
      </c>
      <c r="B6" s="8" t="inlineStr">
        <is>
          <t>Cross-person transfer design</t>
        </is>
      </c>
      <c r="C6" s="8" t="inlineStr">
        <is>
          <t>Split-design</t>
        </is>
      </c>
      <c r="D6" s="8" t="inlineStr">
        <is>
          <t>Secondary decision-support</t>
        </is>
      </c>
      <c r="E6" s="8" t="inlineStr">
        <is>
          <t>Stage 2 - Split lock</t>
        </is>
      </c>
      <c r="F6" s="8" t="inlineStr">
        <is>
          <t>High</t>
        </is>
      </c>
      <c r="G6" s="8" t="inlineStr">
        <is>
          <t>Cross-person transfer framing</t>
        </is>
      </c>
      <c r="H6" s="8" t="inlineStr">
        <is>
          <t>How should cross-person generalization be framed and evaluated?</t>
        </is>
      </c>
      <c r="I6" s="8" t="inlineStr">
        <is>
          <t>Evaluate under leakage-aware claim-matched split logic before interpretation.</t>
        </is>
      </c>
      <c r="J6" s="8" t="inlineStr">
        <is>
          <t>Transfer protocol</t>
        </is>
      </c>
      <c r="K6" s="8" t="inlineStr">
        <is>
          <t>Dataset index version, train-only fitting policy, metric definitions, seed policy, artifact schema.</t>
        </is>
      </c>
      <c r="L6" s="8" t="inlineStr">
        <is>
          <t>Internal repeated-session BAS2 dataset (sub-001 and sub-002) unless explicitly external.</t>
        </is>
      </c>
      <c r="M6" s="8" t="inlineStr">
        <is>
          <t>coarse_affect unless this experiment manipulates target granularity.</t>
        </is>
      </c>
      <c r="N6" s="8" t="inlineStr">
        <is>
          <t>frozen train-on-A/test-on-B and reverse direction</t>
        </is>
      </c>
      <c r="O6" s="8" t="inlineStr">
        <is>
          <t>Performance inflation if split logic or fit scope leaks train/test information.</t>
        </is>
      </c>
      <c r="P6" s="8" t="inlineStr">
        <is>
          <t>Fit only on train subject; no test subject re-fit/re-tune</t>
        </is>
      </c>
      <c r="Q6" s="8" t="inlineStr">
        <is>
          <t>ridge baseline unless model family is manipulated.</t>
        </is>
      </c>
      <c r="R6" s="8" t="inlineStr">
        <is>
          <t>Balanced accuracy</t>
        </is>
      </c>
      <c r="S6" s="8" t="inlineStr">
        <is>
          <t>Macro-F1; class-wise recall; accuracy</t>
        </is>
      </c>
      <c r="T6" s="8" t="inlineStr">
        <is>
          <t>Fold-level checks and stress controls where relevant.</t>
        </is>
      </c>
      <c r="U6" s="8" t="inlineStr">
        <is>
          <t>Keep frozen directional transfer as clean cross-case test.</t>
        </is>
      </c>
      <c r="V6" s="8" t="inlineStr">
        <is>
          <t>Stable claim-consistent performance without leakage indicators.</t>
        </is>
      </c>
      <c r="W6" s="8" t="inlineStr">
        <is>
          <t>Weak-split inflation, instability, class collapse, or directionally inconsistent evidence.</t>
        </is>
      </c>
      <c r="X6" s="8" t="inlineStr">
        <is>
          <t>Class imbalance, sample limits, domain shift, and model/split sensitivity.</t>
        </is>
      </c>
      <c r="Y6" s="8" t="inlineStr">
        <is>
          <t>Chapter 3 Method choice</t>
        </is>
      </c>
      <c r="Z6" s="8" t="inlineStr">
        <is>
          <t>Transfer evidence under domain shift, not population-level generalization.</t>
        </is>
      </c>
      <c r="AA6" s="8" t="inlineStr">
        <is>
          <t>Planned</t>
        </is>
      </c>
      <c r="AB6" s="8" t="inlineStr">
        <is>
          <t>Khaled (thesis author)</t>
        </is>
      </c>
      <c r="AC6" s="8" t="inlineStr"/>
      <c r="AD6" s="8" t="inlineStr"/>
      <c r="AE6" s="8" t="inlineStr"/>
      <c r="AF6" s="8">
        <f>IF($AA6="Dropped","N/A",IF(AND($H6&lt;&gt;"",$J6&lt;&gt;"",$K6&lt;&gt;"",$M6&lt;&gt;"",$N6&lt;&gt;"",$P6&lt;&gt;"",$R6&lt;&gt;"",$U6&lt;&gt;"",$V6&lt;&gt;"",$W6&lt;&gt;"",$Z6&lt;&gt;"",$Y6&lt;&gt;""),"READY","INCOMPLETE"))</f>
        <v/>
      </c>
    </row>
    <row r="7">
      <c r="A7" s="3" t="inlineStr">
        <is>
          <t>E06</t>
        </is>
      </c>
      <c r="B7" s="3" t="inlineStr">
        <is>
          <t>Linear model family comparison</t>
        </is>
      </c>
      <c r="C7" s="3" t="inlineStr">
        <is>
          <t>Model-comparison</t>
        </is>
      </c>
      <c r="D7" s="3" t="inlineStr">
        <is>
          <t>Secondary decision-support</t>
        </is>
      </c>
      <c r="E7" s="3" t="inlineStr">
        <is>
          <t>Stage 3 - Model lock</t>
        </is>
      </c>
      <c r="F7" s="3" t="inlineStr">
        <is>
          <t>High</t>
        </is>
      </c>
      <c r="G7" s="3" t="inlineStr">
        <is>
          <t>Model family lock</t>
        </is>
      </c>
      <c r="H7" s="3" t="inlineStr">
        <is>
          <t>Which linear model is the most appropriate default: ridge, logistic regression, or linear SVM?</t>
        </is>
      </c>
      <c r="I7" s="3" t="inlineStr">
        <is>
          <t>Evaluate under leakage-aware claim-matched split logic before interpretation.</t>
        </is>
      </c>
      <c r="J7" s="3" t="inlineStr">
        <is>
          <t>Model family</t>
        </is>
      </c>
      <c r="K7" s="3" t="inlineStr">
        <is>
          <t>Dataset index version, train-only fitting policy, metric definitions, seed policy, artifact schema.</t>
        </is>
      </c>
      <c r="L7" s="3" t="inlineStr">
        <is>
          <t>Internal repeated-session BAS2 dataset (sub-001 and sub-002) unless explicitly external.</t>
        </is>
      </c>
      <c r="M7" s="3" t="inlineStr">
        <is>
          <t>coarse_affect unless this experiment manipulates target granularity.</t>
        </is>
      </c>
      <c r="N7" s="3" t="inlineStr">
        <is>
          <t>Claim-matched leakage-safe split strategy.</t>
        </is>
      </c>
      <c r="O7" s="3" t="inlineStr">
        <is>
          <t>Performance inflation if split logic or fit scope leaks train/test information.</t>
        </is>
      </c>
      <c r="P7" s="3" t="inlineStr">
        <is>
          <t>Predefined split manifests, train-only fitting, frozen transfer where applicable, no test-driven tuning.</t>
        </is>
      </c>
      <c r="Q7" s="3" t="inlineStr">
        <is>
          <t>ridge vs logreg vs linearsvc</t>
        </is>
      </c>
      <c r="R7" s="3" t="inlineStr">
        <is>
          <t>Balanced accuracy</t>
        </is>
      </c>
      <c r="S7" s="3" t="inlineStr">
        <is>
          <t>Macro-F1; class-wise recall; accuracy</t>
        </is>
      </c>
      <c r="T7" s="3" t="inlineStr">
        <is>
          <t>Fold-level checks and stress controls where relevant.</t>
        </is>
      </c>
      <c r="U7" s="3" t="inlineStr">
        <is>
          <t>Prefer simplest model with comparable predictive performance and better robustness/stability.</t>
        </is>
      </c>
      <c r="V7" s="3" t="inlineStr">
        <is>
          <t>Stable claim-consistent performance without leakage indicators.</t>
        </is>
      </c>
      <c r="W7" s="3" t="inlineStr">
        <is>
          <t>Weak-split inflation, instability, class collapse, or directionally inconsistent evidence.</t>
        </is>
      </c>
      <c r="X7" s="3" t="inlineStr">
        <is>
          <t>Class imbalance, sample limits, domain shift, and model/split sensitivity.</t>
        </is>
      </c>
      <c r="Y7" s="3" t="inlineStr">
        <is>
          <t>Chapter 3 Method choice</t>
        </is>
      </c>
      <c r="Z7" s="3" t="inlineStr">
        <is>
          <t>Interpret only under stated split logic/evidence tier; no causal or localization claims.</t>
        </is>
      </c>
      <c r="AA7" s="3" t="inlineStr">
        <is>
          <t>Planned</t>
        </is>
      </c>
      <c r="AB7" s="3" t="inlineStr">
        <is>
          <t>Khaled (thesis author)</t>
        </is>
      </c>
      <c r="AC7" s="3" t="inlineStr"/>
      <c r="AD7" s="3" t="inlineStr"/>
      <c r="AE7" s="3" t="inlineStr"/>
      <c r="AF7" s="3">
        <f>IF($AA7="Dropped","N/A",IF(AND($H7&lt;&gt;"",$J7&lt;&gt;"",$K7&lt;&gt;"",$M7&lt;&gt;"",$N7&lt;&gt;"",$P7&lt;&gt;"",$R7&lt;&gt;"",$U7&lt;&gt;"",$V7&lt;&gt;"",$W7&lt;&gt;"",$Z7&lt;&gt;"",$Y7&lt;&gt;""),"READY","INCOMPLETE"))</f>
        <v/>
      </c>
    </row>
    <row r="8">
      <c r="A8" s="8" t="inlineStr">
        <is>
          <t>E07</t>
        </is>
      </c>
      <c r="B8" s="8" t="inlineStr">
        <is>
          <t>Class weighting experiment</t>
        </is>
      </c>
      <c r="C8" s="8" t="inlineStr">
        <is>
          <t>Model-comparison</t>
        </is>
      </c>
      <c r="D8" s="8" t="inlineStr">
        <is>
          <t>Secondary decision-support</t>
        </is>
      </c>
      <c r="E8" s="8" t="inlineStr">
        <is>
          <t>Stage 3 - Model lock</t>
        </is>
      </c>
      <c r="F8" s="8" t="inlineStr">
        <is>
          <t>Medium</t>
        </is>
      </c>
      <c r="G8" s="8" t="inlineStr">
        <is>
          <t>Weighting policy</t>
        </is>
      </c>
      <c r="H8" s="8" t="inlineStr">
        <is>
          <t>Does class weighting improve fairness across classes without creating instability?</t>
        </is>
      </c>
      <c r="I8" s="8" t="inlineStr">
        <is>
          <t>Evaluate under leakage-aware claim-matched split logic before interpretation.</t>
        </is>
      </c>
      <c r="J8" s="8" t="inlineStr">
        <is>
          <t>Weighting strategy</t>
        </is>
      </c>
      <c r="K8" s="8" t="inlineStr">
        <is>
          <t>Dataset index version, train-only fitting policy, metric definitions, seed policy, artifact schema.</t>
        </is>
      </c>
      <c r="L8" s="8" t="inlineStr">
        <is>
          <t>Internal repeated-session BAS2 dataset (sub-001 and sub-002) unless explicitly external.</t>
        </is>
      </c>
      <c r="M8" s="8" t="inlineStr">
        <is>
          <t>coarse_affect unless this experiment manipulates target granularity.</t>
        </is>
      </c>
      <c r="N8" s="8" t="inlineStr">
        <is>
          <t>Claim-matched leakage-safe split strategy.</t>
        </is>
      </c>
      <c r="O8" s="8" t="inlineStr">
        <is>
          <t>Performance inflation if split logic or fit scope leaks train/test information.</t>
        </is>
      </c>
      <c r="P8" s="8" t="inlineStr">
        <is>
          <t>Predefined split manifests, train-only fitting, frozen transfer where applicable, no test-driven tuning.</t>
        </is>
      </c>
      <c r="Q8" s="8" t="inlineStr">
        <is>
          <t>ridge baseline unless model family is manipulated.</t>
        </is>
      </c>
      <c r="R8" s="8" t="inlineStr">
        <is>
          <t>Balanced accuracy</t>
        </is>
      </c>
      <c r="S8" s="8" t="inlineStr">
        <is>
          <t>Macro-F1; class-wise recall; accuracy</t>
        </is>
      </c>
      <c r="T8" s="8" t="inlineStr">
        <is>
          <t>Fold-level checks and stress controls where relevant.</t>
        </is>
      </c>
      <c r="U8" s="8" t="inlineStr">
        <is>
          <t>Pre-specified criterion recorded before interpretation.</t>
        </is>
      </c>
      <c r="V8" s="8" t="inlineStr">
        <is>
          <t>Stable claim-consistent performance without leakage indicators.</t>
        </is>
      </c>
      <c r="W8" s="8" t="inlineStr">
        <is>
          <t>Weak-split inflation, instability, class collapse, or directionally inconsistent evidence.</t>
        </is>
      </c>
      <c r="X8" s="8" t="inlineStr">
        <is>
          <t>Class imbalance, sample limits, domain shift, and model/split sensitivity.</t>
        </is>
      </c>
      <c r="Y8" s="8" t="inlineStr">
        <is>
          <t>Chapter 3 Method choice</t>
        </is>
      </c>
      <c r="Z8" s="8" t="inlineStr">
        <is>
          <t>Interpret only under stated split logic/evidence tier; no causal or localization claims.</t>
        </is>
      </c>
      <c r="AA8" s="8" t="inlineStr">
        <is>
          <t>Planned</t>
        </is>
      </c>
      <c r="AB8" s="8" t="inlineStr">
        <is>
          <t>Khaled (thesis author)</t>
        </is>
      </c>
      <c r="AC8" s="8" t="inlineStr"/>
      <c r="AD8" s="8" t="inlineStr"/>
      <c r="AE8" s="8" t="inlineStr"/>
      <c r="AF8" s="8">
        <f>IF($AA8="Dropped","N/A",IF(AND($H8&lt;&gt;"",$J8&lt;&gt;"",$K8&lt;&gt;"",$M8&lt;&gt;"",$N8&lt;&gt;"",$P8&lt;&gt;"",$R8&lt;&gt;"",$U8&lt;&gt;"",$V8&lt;&gt;"",$W8&lt;&gt;"",$Z8&lt;&gt;"",$Y8&lt;&gt;""),"READY","INCOMPLETE"))</f>
        <v/>
      </c>
    </row>
    <row r="9">
      <c r="A9" s="3" t="inlineStr">
        <is>
          <t>E08</t>
        </is>
      </c>
      <c r="B9" s="3" t="inlineStr">
        <is>
          <t>Hyperparameter strategy experiment</t>
        </is>
      </c>
      <c r="C9" s="3" t="inlineStr">
        <is>
          <t>Model-comparison</t>
        </is>
      </c>
      <c r="D9" s="3" t="inlineStr">
        <is>
          <t>Secondary decision-support</t>
        </is>
      </c>
      <c r="E9" s="3" t="inlineStr">
        <is>
          <t>Stage 3 - Model lock</t>
        </is>
      </c>
      <c r="F9" s="3" t="inlineStr">
        <is>
          <t>Medium</t>
        </is>
      </c>
      <c r="G9" s="3" t="inlineStr">
        <is>
          <t>Tuning policy</t>
        </is>
      </c>
      <c r="H9" s="3" t="inlineStr">
        <is>
          <t>Are fixed conservative hyperparameters sufficient, or does light nested tuning materially improve results?</t>
        </is>
      </c>
      <c r="I9" s="3" t="inlineStr">
        <is>
          <t>Evaluate under leakage-aware claim-matched split logic before interpretation.</t>
        </is>
      </c>
      <c r="J9" s="3" t="inlineStr">
        <is>
          <t>Tuning strategy</t>
        </is>
      </c>
      <c r="K9" s="3" t="inlineStr">
        <is>
          <t>Dataset index version, train-only fitting policy, metric definitions, seed policy, artifact schema.</t>
        </is>
      </c>
      <c r="L9" s="3" t="inlineStr">
        <is>
          <t>Internal repeated-session BAS2 dataset (sub-001 and sub-002) unless explicitly external.</t>
        </is>
      </c>
      <c r="M9" s="3" t="inlineStr">
        <is>
          <t>coarse_affect unless this experiment manipulates target granularity.</t>
        </is>
      </c>
      <c r="N9" s="3" t="inlineStr">
        <is>
          <t>Claim-matched leakage-safe split strategy.</t>
        </is>
      </c>
      <c r="O9" s="3" t="inlineStr">
        <is>
          <t>Performance inflation if split logic or fit scope leaks train/test information.</t>
        </is>
      </c>
      <c r="P9" s="3" t="inlineStr">
        <is>
          <t>Predefined split manifests, train-only fitting, frozen transfer where applicable, no test-driven tuning.</t>
        </is>
      </c>
      <c r="Q9" s="3" t="inlineStr">
        <is>
          <t>ridge baseline unless model family is manipulated.</t>
        </is>
      </c>
      <c r="R9" s="3" t="inlineStr">
        <is>
          <t>Balanced accuracy</t>
        </is>
      </c>
      <c r="S9" s="3" t="inlineStr">
        <is>
          <t>Macro-F1; class-wise recall; accuracy</t>
        </is>
      </c>
      <c r="T9" s="3" t="inlineStr">
        <is>
          <t>Fold-level checks and stress controls where relevant.</t>
        </is>
      </c>
      <c r="U9" s="3" t="inlineStr">
        <is>
          <t>Keep fixed settings unless nested tuning yields a clear and stable gain.</t>
        </is>
      </c>
      <c r="V9" s="3" t="inlineStr">
        <is>
          <t>Stable claim-consistent performance without leakage indicators.</t>
        </is>
      </c>
      <c r="W9" s="3" t="inlineStr">
        <is>
          <t>Weak-split inflation, instability, class collapse, or directionally inconsistent evidence.</t>
        </is>
      </c>
      <c r="X9" s="3" t="inlineStr">
        <is>
          <t>Class imbalance, sample limits, domain shift, and model/split sensitivity.</t>
        </is>
      </c>
      <c r="Y9" s="3" t="inlineStr">
        <is>
          <t>Chapter 3 Method choice</t>
        </is>
      </c>
      <c r="Z9" s="3" t="inlineStr">
        <is>
          <t>Interpret only under stated split logic/evidence tier; no causal or localization claims.</t>
        </is>
      </c>
      <c r="AA9" s="3" t="inlineStr">
        <is>
          <t>Planned</t>
        </is>
      </c>
      <c r="AB9" s="3" t="inlineStr">
        <is>
          <t>Khaled (thesis author)</t>
        </is>
      </c>
      <c r="AC9" s="3" t="inlineStr"/>
      <c r="AD9" s="3" t="inlineStr"/>
      <c r="AE9" s="3" t="inlineStr"/>
      <c r="AF9" s="3">
        <f>IF($AA9="Dropped","N/A",IF(AND($H9&lt;&gt;"",$J9&lt;&gt;"",$K9&lt;&gt;"",$M9&lt;&gt;"",$N9&lt;&gt;"",$P9&lt;&gt;"",$R9&lt;&gt;"",$U9&lt;&gt;"",$V9&lt;&gt;"",$W9&lt;&gt;"",$Z9&lt;&gt;"",$Y9&lt;&gt;""),"READY","INCOMPLETE"))</f>
        <v/>
      </c>
    </row>
    <row r="10">
      <c r="A10" s="8" t="inlineStr">
        <is>
          <t>E09</t>
        </is>
      </c>
      <c r="B10" s="8" t="inlineStr">
        <is>
          <t>Whole-brain versus ROI experiment</t>
        </is>
      </c>
      <c r="C10" s="8" t="inlineStr">
        <is>
          <t>Preprocessing-feature</t>
        </is>
      </c>
      <c r="D10" s="8" t="inlineStr">
        <is>
          <t>Secondary decision-support</t>
        </is>
      </c>
      <c r="E10" s="8" t="inlineStr">
        <is>
          <t>Stage 4 - Feature/preprocessing lock</t>
        </is>
      </c>
      <c r="F10" s="8" t="inlineStr">
        <is>
          <t>Medium</t>
        </is>
      </c>
      <c r="G10" s="8" t="inlineStr">
        <is>
          <t>Feature representation lock</t>
        </is>
      </c>
      <c r="H10" s="8" t="inlineStr">
        <is>
          <t>Should the primary representation remain whole-brain masked voxels or use theory-justified ROIs?</t>
        </is>
      </c>
      <c r="I10" s="8" t="inlineStr">
        <is>
          <t>Evaluate under leakage-aware claim-matched split logic before interpretation.</t>
        </is>
      </c>
      <c r="J10" s="8" t="inlineStr">
        <is>
          <t>Feature space</t>
        </is>
      </c>
      <c r="K10" s="8" t="inlineStr">
        <is>
          <t>Dataset index version, train-only fitting policy, metric definitions, seed policy, artifact schema.</t>
        </is>
      </c>
      <c r="L10" s="8" t="inlineStr">
        <is>
          <t>Internal repeated-session BAS2 dataset (sub-001 and sub-002) unless explicitly external.</t>
        </is>
      </c>
      <c r="M10" s="8" t="inlineStr">
        <is>
          <t>coarse_affect unless this experiment manipulates target granularity.</t>
        </is>
      </c>
      <c r="N10" s="8" t="inlineStr">
        <is>
          <t>Claim-matched leakage-safe split strategy.</t>
        </is>
      </c>
      <c r="O10" s="8" t="inlineStr">
        <is>
          <t>Performance inflation if split logic or fit scope leaks train/test information.</t>
        </is>
      </c>
      <c r="P10" s="8" t="inlineStr">
        <is>
          <t>Predefined split manifests, train-only fitting, frozen transfer where applicable, no test-driven tuning.</t>
        </is>
      </c>
      <c r="Q10" s="8" t="inlineStr">
        <is>
          <t>ridge baseline unless model family is manipulated.</t>
        </is>
      </c>
      <c r="R10" s="8" t="inlineStr">
        <is>
          <t>Balanced accuracy</t>
        </is>
      </c>
      <c r="S10" s="8" t="inlineStr">
        <is>
          <t>Macro-F1; class-wise recall; accuracy</t>
        </is>
      </c>
      <c r="T10" s="8" t="inlineStr">
        <is>
          <t>Fold-level checks and stress controls where relevant.</t>
        </is>
      </c>
      <c r="U10" s="8" t="inlineStr">
        <is>
          <t>Pre-specified criterion recorded before interpretation.</t>
        </is>
      </c>
      <c r="V10" s="8" t="inlineStr">
        <is>
          <t>Stable claim-consistent performance without leakage indicators.</t>
        </is>
      </c>
      <c r="W10" s="8" t="inlineStr">
        <is>
          <t>Weak-split inflation, instability, class collapse, or directionally inconsistent evidence.</t>
        </is>
      </c>
      <c r="X10" s="8" t="inlineStr">
        <is>
          <t>Class imbalance, sample limits, domain shift, and model/split sensitivity.</t>
        </is>
      </c>
      <c r="Y10" s="8" t="inlineStr">
        <is>
          <t>Chapter 3 Method choice</t>
        </is>
      </c>
      <c r="Z10" s="8" t="inlineStr">
        <is>
          <t>Interpret only under stated split logic/evidence tier; no causal or localization claims.</t>
        </is>
      </c>
      <c r="AA10" s="8" t="inlineStr">
        <is>
          <t>Planned</t>
        </is>
      </c>
      <c r="AB10" s="8" t="inlineStr">
        <is>
          <t>Khaled (thesis author)</t>
        </is>
      </c>
      <c r="AC10" s="8" t="inlineStr"/>
      <c r="AD10" s="8" t="inlineStr"/>
      <c r="AE10" s="8" t="inlineStr"/>
      <c r="AF10" s="8">
        <f>IF($AA10="Dropped","N/A",IF(AND($H10&lt;&gt;"",$J10&lt;&gt;"",$K10&lt;&gt;"",$M10&lt;&gt;"",$N10&lt;&gt;"",$P10&lt;&gt;"",$R10&lt;&gt;"",$U10&lt;&gt;"",$V10&lt;&gt;"",$W10&lt;&gt;"",$Z10&lt;&gt;"",$Y10&lt;&gt;""),"READY","INCOMPLETE"))</f>
        <v/>
      </c>
    </row>
    <row r="11">
      <c r="A11" s="3" t="inlineStr">
        <is>
          <t>E10</t>
        </is>
      </c>
      <c r="B11" s="3" t="inlineStr">
        <is>
          <t>Dimensionality reduction experiment</t>
        </is>
      </c>
      <c r="C11" s="3" t="inlineStr">
        <is>
          <t>Preprocessing-feature</t>
        </is>
      </c>
      <c r="D11" s="3" t="inlineStr">
        <is>
          <t>Secondary decision-support</t>
        </is>
      </c>
      <c r="E11" s="3" t="inlineStr">
        <is>
          <t>Stage 4 - Feature/preprocessing lock</t>
        </is>
      </c>
      <c r="F11" s="3" t="inlineStr">
        <is>
          <t>Medium</t>
        </is>
      </c>
      <c r="G11" s="3" t="inlineStr">
        <is>
          <t>Feature reduction policy</t>
        </is>
      </c>
      <c r="H11" s="3" t="inlineStr">
        <is>
          <t>Does unsupervised dimensionality reduction improve performance or stability enough to justify added complexity?</t>
        </is>
      </c>
      <c r="I11" s="3" t="inlineStr">
        <is>
          <t>Evaluate under leakage-aware claim-matched split logic before interpretation.</t>
        </is>
      </c>
      <c r="J11" s="3" t="inlineStr">
        <is>
          <t>Feature reduction strategy</t>
        </is>
      </c>
      <c r="K11" s="3" t="inlineStr">
        <is>
          <t>Dataset index version, train-only fitting policy, metric definitions, seed policy, artifact schema.</t>
        </is>
      </c>
      <c r="L11" s="3" t="inlineStr">
        <is>
          <t>Internal repeated-session BAS2 dataset (sub-001 and sub-002) unless explicitly external.</t>
        </is>
      </c>
      <c r="M11" s="3" t="inlineStr">
        <is>
          <t>coarse_affect unless this experiment manipulates target granularity.</t>
        </is>
      </c>
      <c r="N11" s="3" t="inlineStr">
        <is>
          <t>Claim-matched leakage-safe split strategy.</t>
        </is>
      </c>
      <c r="O11" s="3" t="inlineStr">
        <is>
          <t>Performance inflation if split logic or fit scope leaks train/test information.</t>
        </is>
      </c>
      <c r="P11" s="3" t="inlineStr">
        <is>
          <t>Predefined split manifests, train-only fitting, frozen transfer where applicable, no test-driven tuning.</t>
        </is>
      </c>
      <c r="Q11" s="3" t="inlineStr">
        <is>
          <t>ridge baseline unless model family is manipulated.</t>
        </is>
      </c>
      <c r="R11" s="3" t="inlineStr">
        <is>
          <t>Balanced accuracy</t>
        </is>
      </c>
      <c r="S11" s="3" t="inlineStr">
        <is>
          <t>Macro-F1; class-wise recall; accuracy</t>
        </is>
      </c>
      <c r="T11" s="3" t="inlineStr">
        <is>
          <t>Fold-level checks and stress controls where relevant.</t>
        </is>
      </c>
      <c r="U11" s="3" t="inlineStr">
        <is>
          <t>Pre-specified criterion recorded before interpretation.</t>
        </is>
      </c>
      <c r="V11" s="3" t="inlineStr">
        <is>
          <t>Stable claim-consistent performance without leakage indicators.</t>
        </is>
      </c>
      <c r="W11" s="3" t="inlineStr">
        <is>
          <t>Weak-split inflation, instability, class collapse, or directionally inconsistent evidence.</t>
        </is>
      </c>
      <c r="X11" s="3" t="inlineStr">
        <is>
          <t>Class imbalance, sample limits, domain shift, and model/split sensitivity.</t>
        </is>
      </c>
      <c r="Y11" s="3" t="inlineStr">
        <is>
          <t>Chapter 3 Method choice</t>
        </is>
      </c>
      <c r="Z11" s="3" t="inlineStr">
        <is>
          <t>Interpret only under stated split logic/evidence tier; no causal or localization claims.</t>
        </is>
      </c>
      <c r="AA11" s="3" t="inlineStr">
        <is>
          <t>Planned</t>
        </is>
      </c>
      <c r="AB11" s="3" t="inlineStr">
        <is>
          <t>Khaled (thesis author)</t>
        </is>
      </c>
      <c r="AC11" s="3" t="inlineStr"/>
      <c r="AD11" s="3" t="inlineStr"/>
      <c r="AE11" s="3" t="inlineStr"/>
      <c r="AF11" s="3">
        <f>IF($AA11="Dropped","N/A",IF(AND($H11&lt;&gt;"",$J11&lt;&gt;"",$K11&lt;&gt;"",$M11&lt;&gt;"",$N11&lt;&gt;"",$P11&lt;&gt;"",$R11&lt;&gt;"",$U11&lt;&gt;"",$V11&lt;&gt;"",$W11&lt;&gt;"",$Z11&lt;&gt;"",$Y11&lt;&gt;""),"READY","INCOMPLETE"))</f>
        <v/>
      </c>
    </row>
    <row r="12">
      <c r="A12" s="8" t="inlineStr">
        <is>
          <t>E11</t>
        </is>
      </c>
      <c r="B12" s="8" t="inlineStr">
        <is>
          <t>Scaling and normalization experiment</t>
        </is>
      </c>
      <c r="C12" s="8" t="inlineStr">
        <is>
          <t>Preprocessing-feature</t>
        </is>
      </c>
      <c r="D12" s="8" t="inlineStr">
        <is>
          <t>Secondary decision-support</t>
        </is>
      </c>
      <c r="E12" s="8" t="inlineStr">
        <is>
          <t>Stage 4 - Feature/preprocessing lock</t>
        </is>
      </c>
      <c r="F12" s="8" t="inlineStr">
        <is>
          <t>Medium</t>
        </is>
      </c>
      <c r="G12" s="8" t="inlineStr">
        <is>
          <t>Scaling policy lock</t>
        </is>
      </c>
      <c r="H12" s="8" t="inlineStr">
        <is>
          <t>How sensitive are the results to scaling strategy?</t>
        </is>
      </c>
      <c r="I12" s="8" t="inlineStr">
        <is>
          <t>Evaluate under leakage-aware claim-matched split logic before interpretation.</t>
        </is>
      </c>
      <c r="J12" s="8" t="inlineStr">
        <is>
          <t>Scaling policy</t>
        </is>
      </c>
      <c r="K12" s="8" t="inlineStr">
        <is>
          <t>Dataset index version, train-only fitting policy, metric definitions, seed policy, artifact schema.</t>
        </is>
      </c>
      <c r="L12" s="8" t="inlineStr">
        <is>
          <t>Internal repeated-session BAS2 dataset (sub-001 and sub-002) unless explicitly external.</t>
        </is>
      </c>
      <c r="M12" s="8" t="inlineStr">
        <is>
          <t>coarse_affect unless this experiment manipulates target granularity.</t>
        </is>
      </c>
      <c r="N12" s="8" t="inlineStr">
        <is>
          <t>Claim-matched leakage-safe split strategy.</t>
        </is>
      </c>
      <c r="O12" s="8" t="inlineStr">
        <is>
          <t>Performance inflation if split logic or fit scope leaks train/test information.</t>
        </is>
      </c>
      <c r="P12" s="8" t="inlineStr">
        <is>
          <t>Predefined split manifests, train-only fitting, frozen transfer where applicable, no test-driven tuning.</t>
        </is>
      </c>
      <c r="Q12" s="8" t="inlineStr">
        <is>
          <t>ridge baseline unless model family is manipulated.</t>
        </is>
      </c>
      <c r="R12" s="8" t="inlineStr">
        <is>
          <t>Balanced accuracy</t>
        </is>
      </c>
      <c r="S12" s="8" t="inlineStr">
        <is>
          <t>Macro-F1; class-wise recall; accuracy</t>
        </is>
      </c>
      <c r="T12" s="8" t="inlineStr">
        <is>
          <t>Fold-level checks and stress controls where relevant.</t>
        </is>
      </c>
      <c r="U12" s="8" t="inlineStr">
        <is>
          <t>Pre-specified criterion recorded before interpretation.</t>
        </is>
      </c>
      <c r="V12" s="8" t="inlineStr">
        <is>
          <t>Stable claim-consistent performance without leakage indicators.</t>
        </is>
      </c>
      <c r="W12" s="8" t="inlineStr">
        <is>
          <t>Weak-split inflation, instability, class collapse, or directionally inconsistent evidence.</t>
        </is>
      </c>
      <c r="X12" s="8" t="inlineStr">
        <is>
          <t>Class imbalance, sample limits, domain shift, and model/split sensitivity.</t>
        </is>
      </c>
      <c r="Y12" s="8" t="inlineStr">
        <is>
          <t>Chapter 3 Method choice</t>
        </is>
      </c>
      <c r="Z12" s="8" t="inlineStr">
        <is>
          <t>Interpret only under stated split logic/evidence tier; no causal or localization claims.</t>
        </is>
      </c>
      <c r="AA12" s="8" t="inlineStr">
        <is>
          <t>Planned</t>
        </is>
      </c>
      <c r="AB12" s="8" t="inlineStr">
        <is>
          <t>Khaled (thesis author)</t>
        </is>
      </c>
      <c r="AC12" s="8" t="inlineStr"/>
      <c r="AD12" s="8" t="inlineStr"/>
      <c r="AE12" s="8" t="inlineStr"/>
      <c r="AF12" s="8">
        <f>IF($AA12="Dropped","N/A",IF(AND($H12&lt;&gt;"",$J12&lt;&gt;"",$K12&lt;&gt;"",$M12&lt;&gt;"",$N12&lt;&gt;"",$P12&lt;&gt;"",$R12&lt;&gt;"",$U12&lt;&gt;"",$V12&lt;&gt;"",$W12&lt;&gt;"",$Z12&lt;&gt;"",$Y12&lt;&gt;""),"READY","INCOMPLETE"))</f>
        <v/>
      </c>
    </row>
    <row r="13">
      <c r="A13" s="3" t="inlineStr">
        <is>
          <t>E12</t>
        </is>
      </c>
      <c r="B13" s="3" t="inlineStr">
        <is>
          <t>Permutation test experiment</t>
        </is>
      </c>
      <c r="C13" s="3" t="inlineStr">
        <is>
          <t>Robustness</t>
        </is>
      </c>
      <c r="D13" s="3" t="inlineStr">
        <is>
          <t>Primary-supporting robustness</t>
        </is>
      </c>
      <c r="E13" s="3" t="inlineStr">
        <is>
          <t>Stage 6 - Robustness analysis</t>
        </is>
      </c>
      <c r="F13" s="3" t="inlineStr">
        <is>
          <t>High</t>
        </is>
      </c>
      <c r="G13" s="3" t="inlineStr">
        <is>
          <t>Chance-level distinguishability support</t>
        </is>
      </c>
      <c r="H13" s="3" t="inlineStr">
        <is>
          <t>Are the main predictive results distinguishable from chance under the exact same split logic?</t>
        </is>
      </c>
      <c r="I13" s="3" t="inlineStr">
        <is>
          <t>Evaluate under leakage-aware claim-matched split logic before interpretation.</t>
        </is>
      </c>
      <c r="J13" s="3" t="inlineStr">
        <is>
          <t>Label structure (true vs permuted)</t>
        </is>
      </c>
      <c r="K13" s="3" t="inlineStr">
        <is>
          <t>Dataset index version, train-only fitting policy, metric definitions, seed policy, artifact schema.</t>
        </is>
      </c>
      <c r="L13" s="3" t="inlineStr">
        <is>
          <t>Internal repeated-session BAS2 dataset (sub-001 and sub-002) unless explicitly external.</t>
        </is>
      </c>
      <c r="M13" s="3" t="inlineStr">
        <is>
          <t>coarse_affect unless this experiment manipulates target granularity.</t>
        </is>
      </c>
      <c r="N13" s="3" t="inlineStr">
        <is>
          <t>exact confirmatory split logic with train-only permutation</t>
        </is>
      </c>
      <c r="O13" s="3" t="inlineStr">
        <is>
          <t>Performance inflation if split logic or fit scope leaks train/test information.</t>
        </is>
      </c>
      <c r="P13" s="3" t="inlineStr">
        <is>
          <t>Predefined split manifests, train-only fitting, frozen transfer where applicable, no test-driven tuning.</t>
        </is>
      </c>
      <c r="Q13" s="3" t="inlineStr">
        <is>
          <t>ridge baseline unless model family is manipulated.</t>
        </is>
      </c>
      <c r="R13" s="3" t="inlineStr">
        <is>
          <t>Balanced accuracy</t>
        </is>
      </c>
      <c r="S13" s="3" t="inlineStr">
        <is>
          <t>Empirical p-value; null distribution summary</t>
        </is>
      </c>
      <c r="T13" s="3" t="inlineStr">
        <is>
          <t>Fold-level checks and stress controls where relevant.</t>
        </is>
      </c>
      <c r="U13" s="3" t="inlineStr">
        <is>
          <t>Pre-specified criterion recorded before interpretation.</t>
        </is>
      </c>
      <c r="V13" s="3" t="inlineStr">
        <is>
          <t>Stable claim-consistent performance without leakage indicators.</t>
        </is>
      </c>
      <c r="W13" s="3" t="inlineStr">
        <is>
          <t>Weak-split inflation, instability, class collapse, or directionally inconsistent evidence.</t>
        </is>
      </c>
      <c r="X13" s="3" t="inlineStr">
        <is>
          <t>Class imbalance, sample limits, domain shift, and model/split sensitivity.</t>
        </is>
      </c>
      <c r="Y13" s="3" t="inlineStr">
        <is>
          <t>Chapter 4 Supporting robustness</t>
        </is>
      </c>
      <c r="Z13" s="3" t="inlineStr">
        <is>
          <t>Interpret only under stated split logic/evidence tier; no causal or localization claims.</t>
        </is>
      </c>
      <c r="AA13" s="3" t="inlineStr">
        <is>
          <t>Planned</t>
        </is>
      </c>
      <c r="AB13" s="3" t="inlineStr">
        <is>
          <t>Khaled (thesis author)</t>
        </is>
      </c>
      <c r="AC13" s="3" t="inlineStr"/>
      <c r="AD13" s="3" t="inlineStr"/>
      <c r="AE13" s="3" t="inlineStr"/>
      <c r="AF13" s="3">
        <f>IF($AA13="Dropped","N/A",IF(AND($H13&lt;&gt;"",$J13&lt;&gt;"",$K13&lt;&gt;"",$M13&lt;&gt;"",$N13&lt;&gt;"",$P13&lt;&gt;"",$R13&lt;&gt;"",$U13&lt;&gt;"",$V13&lt;&gt;"",$W13&lt;&gt;"",$Z13&lt;&gt;"",$Y13&lt;&gt;""),"READY","INCOMPLETE"))</f>
        <v/>
      </c>
    </row>
    <row r="14">
      <c r="A14" s="8" t="inlineStr">
        <is>
          <t>E13</t>
        </is>
      </c>
      <c r="B14" s="8" t="inlineStr">
        <is>
          <t>Trivial baseline experiment</t>
        </is>
      </c>
      <c r="C14" s="8" t="inlineStr">
        <is>
          <t>Robustness</t>
        </is>
      </c>
      <c r="D14" s="8" t="inlineStr">
        <is>
          <t>Primary-supporting robustness</t>
        </is>
      </c>
      <c r="E14" s="8" t="inlineStr">
        <is>
          <t>Stage 6 - Robustness analysis</t>
        </is>
      </c>
      <c r="F14" s="8" t="inlineStr">
        <is>
          <t>High</t>
        </is>
      </c>
      <c r="G14" s="8" t="inlineStr">
        <is>
          <t>Non-trivial predictive value support</t>
        </is>
      </c>
      <c r="H14" s="8" t="inlineStr">
        <is>
          <t>Does the final model clearly outperform trivial baselines?</t>
        </is>
      </c>
      <c r="I14" s="8" t="inlineStr">
        <is>
          <t>Evaluate under leakage-aware claim-matched split logic before interpretation.</t>
        </is>
      </c>
      <c r="J14" s="8" t="inlineStr">
        <is>
          <t>Baseline type</t>
        </is>
      </c>
      <c r="K14" s="8" t="inlineStr">
        <is>
          <t>Dataset index version, train-only fitting policy, metric definitions, seed policy, artifact schema.</t>
        </is>
      </c>
      <c r="L14" s="8" t="inlineStr">
        <is>
          <t>Internal repeated-session BAS2 dataset (sub-001 and sub-002) unless explicitly external.</t>
        </is>
      </c>
      <c r="M14" s="8" t="inlineStr">
        <is>
          <t>coarse_affect unless this experiment manipulates target granularity.</t>
        </is>
      </c>
      <c r="N14" s="8" t="inlineStr">
        <is>
          <t>Claim-matched leakage-safe split strategy.</t>
        </is>
      </c>
      <c r="O14" s="8" t="inlineStr">
        <is>
          <t>Performance inflation if split logic or fit scope leaks train/test information.</t>
        </is>
      </c>
      <c r="P14" s="8" t="inlineStr">
        <is>
          <t>Predefined split manifests, train-only fitting, frozen transfer where applicable, no test-driven tuning.</t>
        </is>
      </c>
      <c r="Q14" s="8" t="inlineStr">
        <is>
          <t>Final locked model vs trivial baselines</t>
        </is>
      </c>
      <c r="R14" s="8" t="inlineStr">
        <is>
          <t>Balanced accuracy</t>
        </is>
      </c>
      <c r="S14" s="8" t="inlineStr">
        <is>
          <t>Macro-F1; class-wise recall; accuracy</t>
        </is>
      </c>
      <c r="T14" s="8" t="inlineStr">
        <is>
          <t>Fold-level checks and stress controls where relevant.</t>
        </is>
      </c>
      <c r="U14" s="8" t="inlineStr">
        <is>
          <t>Pre-specified criterion recorded before interpretation.</t>
        </is>
      </c>
      <c r="V14" s="8" t="inlineStr">
        <is>
          <t>Stable claim-consistent performance without leakage indicators.</t>
        </is>
      </c>
      <c r="W14" s="8" t="inlineStr">
        <is>
          <t>Weak-split inflation, instability, class collapse, or directionally inconsistent evidence.</t>
        </is>
      </c>
      <c r="X14" s="8" t="inlineStr">
        <is>
          <t>Class imbalance, sample limits, domain shift, and model/split sensitivity.</t>
        </is>
      </c>
      <c r="Y14" s="8" t="inlineStr">
        <is>
          <t>Chapter 4 Supporting robustness</t>
        </is>
      </c>
      <c r="Z14" s="8" t="inlineStr">
        <is>
          <t>Interpret only under stated split logic/evidence tier; no causal or localization claims.</t>
        </is>
      </c>
      <c r="AA14" s="8" t="inlineStr">
        <is>
          <t>Planned</t>
        </is>
      </c>
      <c r="AB14" s="8" t="inlineStr">
        <is>
          <t>Khaled (thesis author)</t>
        </is>
      </c>
      <c r="AC14" s="8" t="inlineStr"/>
      <c r="AD14" s="8" t="inlineStr"/>
      <c r="AE14" s="8" t="inlineStr"/>
      <c r="AF14" s="8">
        <f>IF($AA14="Dropped","N/A",IF(AND($H14&lt;&gt;"",$J14&lt;&gt;"",$K14&lt;&gt;"",$M14&lt;&gt;"",$N14&lt;&gt;"",$P14&lt;&gt;"",$R14&lt;&gt;"",$U14&lt;&gt;"",$V14&lt;&gt;"",$W14&lt;&gt;"",$Z14&lt;&gt;"",$Y14&lt;&gt;""),"READY","INCOMPLETE"))</f>
        <v/>
      </c>
    </row>
    <row r="15">
      <c r="A15" s="3" t="inlineStr">
        <is>
          <t>E14</t>
        </is>
      </c>
      <c r="B15" s="3" t="inlineStr">
        <is>
          <t>Stability of explanation experiment</t>
        </is>
      </c>
      <c r="C15" s="3" t="inlineStr">
        <is>
          <t>Robustness</t>
        </is>
      </c>
      <c r="D15" s="3" t="inlineStr">
        <is>
          <t>Primary-supporting robustness</t>
        </is>
      </c>
      <c r="E15" s="3" t="inlineStr">
        <is>
          <t>Stage 6 - Robustness analysis</t>
        </is>
      </c>
      <c r="F15" s="3" t="inlineStr">
        <is>
          <t>High</t>
        </is>
      </c>
      <c r="G15" s="3" t="inlineStr">
        <is>
          <t>Interpretability stability support</t>
        </is>
      </c>
      <c r="H15" s="3" t="inlineStr">
        <is>
          <t>Are linear coefficients or importance patterns stable across held-out-session folds?</t>
        </is>
      </c>
      <c r="I15" s="3" t="inlineStr">
        <is>
          <t>Evaluate under leakage-aware claim-matched split logic before interpretation.</t>
        </is>
      </c>
      <c r="J15" s="3" t="inlineStr">
        <is>
          <t>Fold identity</t>
        </is>
      </c>
      <c r="K15" s="3" t="inlineStr">
        <is>
          <t>Dataset index version, train-only fitting policy, metric definitions, seed policy, artifact schema.</t>
        </is>
      </c>
      <c r="L15" s="3" t="inlineStr">
        <is>
          <t>Internal repeated-session BAS2 dataset (sub-001 and sub-002) unless explicitly external.</t>
        </is>
      </c>
      <c r="M15" s="3" t="inlineStr">
        <is>
          <t>coarse_affect unless this experiment manipulates target granularity.</t>
        </is>
      </c>
      <c r="N15" s="3" t="inlineStr">
        <is>
          <t>Claim-matched leakage-safe split strategy.</t>
        </is>
      </c>
      <c r="O15" s="3" t="inlineStr">
        <is>
          <t>Performance inflation if split logic or fit scope leaks train/test information.</t>
        </is>
      </c>
      <c r="P15" s="3" t="inlineStr">
        <is>
          <t>Predefined split manifests, train-only fitting, frozen transfer where applicable, no test-driven tuning.</t>
        </is>
      </c>
      <c r="Q15" s="3" t="inlineStr">
        <is>
          <t>ridge baseline unless model family is manipulated.</t>
        </is>
      </c>
      <c r="R15" s="3" t="inlineStr">
        <is>
          <t>Mean pairwise coefficient correlation</t>
        </is>
      </c>
      <c r="S15" s="3" t="inlineStr">
        <is>
          <t>Sign consistency; top-k overlap</t>
        </is>
      </c>
      <c r="T15" s="3" t="inlineStr">
        <is>
          <t>Fold-level checks and stress controls where relevant.</t>
        </is>
      </c>
      <c r="U15" s="3" t="inlineStr">
        <is>
          <t>Pre-specified criterion recorded before interpretation.</t>
        </is>
      </c>
      <c r="V15" s="3" t="inlineStr">
        <is>
          <t>Stable claim-consistent performance without leakage indicators.</t>
        </is>
      </c>
      <c r="W15" s="3" t="inlineStr">
        <is>
          <t>Weak-split inflation, instability, class collapse, or directionally inconsistent evidence.</t>
        </is>
      </c>
      <c r="X15" s="3" t="inlineStr">
        <is>
          <t>Class imbalance, sample limits, domain shift, and model/split sensitivity.</t>
        </is>
      </c>
      <c r="Y15" s="3" t="inlineStr">
        <is>
          <t>Chapter 4 Supporting robustness</t>
        </is>
      </c>
      <c r="Z15" s="3" t="inlineStr">
        <is>
          <t>Model-behavior evidence only; not direct neural localization.</t>
        </is>
      </c>
      <c r="AA15" s="3" t="inlineStr">
        <is>
          <t>Planned</t>
        </is>
      </c>
      <c r="AB15" s="3" t="inlineStr">
        <is>
          <t>Khaled (thesis author)</t>
        </is>
      </c>
      <c r="AC15" s="3" t="inlineStr"/>
      <c r="AD15" s="3" t="inlineStr"/>
      <c r="AE15" s="3" t="inlineStr"/>
      <c r="AF15" s="3">
        <f>IF($AA15="Dropped","N/A",IF(AND($H15&lt;&gt;"",$J15&lt;&gt;"",$K15&lt;&gt;"",$M15&lt;&gt;"",$N15&lt;&gt;"",$P15&lt;&gt;"",$R15&lt;&gt;"",$U15&lt;&gt;"",$V15&lt;&gt;"",$W15&lt;&gt;"",$Z15&lt;&gt;"",$Y15&lt;&gt;""),"READY","INCOMPLETE"))</f>
        <v/>
      </c>
    </row>
    <row r="16">
      <c r="A16" s="8" t="inlineStr">
        <is>
          <t>E15</t>
        </is>
      </c>
      <c r="B16" s="8" t="inlineStr">
        <is>
          <t>Sensitivity to subset exclusion</t>
        </is>
      </c>
      <c r="C16" s="8" t="inlineStr">
        <is>
          <t>Robustness</t>
        </is>
      </c>
      <c r="D16" s="8" t="inlineStr">
        <is>
          <t>Secondary decision-support / robustness</t>
        </is>
      </c>
      <c r="E16" s="8" t="inlineStr">
        <is>
          <t>Stage 6 - Robustness analysis</t>
        </is>
      </c>
      <c r="F16" s="8" t="inlineStr">
        <is>
          <t>Medium</t>
        </is>
      </c>
      <c r="G16" s="8" t="inlineStr">
        <is>
          <t>Sensitivity framing</t>
        </is>
      </c>
      <c r="H16" s="8" t="inlineStr">
        <is>
          <t>Do the main conclusions depend excessively on one subset, such as one task or modality?</t>
        </is>
      </c>
      <c r="I16" s="8" t="inlineStr">
        <is>
          <t>Evaluate under leakage-aware claim-matched split logic before interpretation.</t>
        </is>
      </c>
      <c r="J16" s="8" t="inlineStr">
        <is>
          <t>Subset inclusion</t>
        </is>
      </c>
      <c r="K16" s="8" t="inlineStr">
        <is>
          <t>Dataset index version, train-only fitting policy, metric definitions, seed policy, artifact schema.</t>
        </is>
      </c>
      <c r="L16" s="8" t="inlineStr">
        <is>
          <t>Internal repeated-session BAS2 dataset (sub-001 and sub-002) unless explicitly external.</t>
        </is>
      </c>
      <c r="M16" s="8" t="inlineStr">
        <is>
          <t>coarse_affect unless this experiment manipulates target granularity.</t>
        </is>
      </c>
      <c r="N16" s="8" t="inlineStr">
        <is>
          <t>Claim-matched leakage-safe split strategy.</t>
        </is>
      </c>
      <c r="O16" s="8" t="inlineStr">
        <is>
          <t>Performance inflation if split logic or fit scope leaks train/test information.</t>
        </is>
      </c>
      <c r="P16" s="8" t="inlineStr">
        <is>
          <t>Predefined split manifests, train-only fitting, frozen transfer where applicable, no test-driven tuning.</t>
        </is>
      </c>
      <c r="Q16" s="8" t="inlineStr">
        <is>
          <t>ridge baseline unless model family is manipulated.</t>
        </is>
      </c>
      <c r="R16" s="8" t="inlineStr">
        <is>
          <t>Balanced accuracy</t>
        </is>
      </c>
      <c r="S16" s="8" t="inlineStr">
        <is>
          <t>Macro-F1; class-wise recall; accuracy</t>
        </is>
      </c>
      <c r="T16" s="8" t="inlineStr">
        <is>
          <t>Fold-level checks and stress controls where relevant.</t>
        </is>
      </c>
      <c r="U16" s="8" t="inlineStr">
        <is>
          <t>Pre-specified criterion recorded before interpretation.</t>
        </is>
      </c>
      <c r="V16" s="8" t="inlineStr">
        <is>
          <t>Stable claim-consistent performance without leakage indicators.</t>
        </is>
      </c>
      <c r="W16" s="8" t="inlineStr">
        <is>
          <t>Weak-split inflation, instability, class collapse, or directionally inconsistent evidence.</t>
        </is>
      </c>
      <c r="X16" s="8" t="inlineStr">
        <is>
          <t>Class imbalance, sample limits, domain shift, and model/split sensitivity.</t>
        </is>
      </c>
      <c r="Y16" s="8" t="inlineStr">
        <is>
          <t>Chapter 5 Discussion</t>
        </is>
      </c>
      <c r="Z16" s="8" t="inlineStr">
        <is>
          <t>Interpret only under stated split logic/evidence tier; no causal or localization claims.</t>
        </is>
      </c>
      <c r="AA16" s="8" t="inlineStr">
        <is>
          <t>Planned</t>
        </is>
      </c>
      <c r="AB16" s="8" t="inlineStr">
        <is>
          <t>Khaled (thesis author)</t>
        </is>
      </c>
      <c r="AC16" s="8" t="inlineStr"/>
      <c r="AD16" s="8" t="inlineStr"/>
      <c r="AE16" s="8" t="inlineStr"/>
      <c r="AF16" s="8">
        <f>IF($AA16="Dropped","N/A",IF(AND($H16&lt;&gt;"",$J16&lt;&gt;"",$K16&lt;&gt;"",$M16&lt;&gt;"",$N16&lt;&gt;"",$P16&lt;&gt;"",$R16&lt;&gt;"",$U16&lt;&gt;"",$V16&lt;&gt;"",$W16&lt;&gt;"",$Z16&lt;&gt;"",$Y16&lt;&gt;""),"READY","INCOMPLETE"))</f>
        <v/>
      </c>
    </row>
    <row r="17">
      <c r="A17" s="3" t="inlineStr">
        <is>
          <t>E16</t>
        </is>
      </c>
      <c r="B17" s="3" t="inlineStr">
        <is>
          <t>Final within-person confirmatory analysis</t>
        </is>
      </c>
      <c r="C17" s="3" t="inlineStr">
        <is>
          <t>Confirmatory core</t>
        </is>
      </c>
      <c r="D17" s="3" t="inlineStr">
        <is>
          <t>Primary confirmatory</t>
        </is>
      </c>
      <c r="E17" s="3" t="inlineStr">
        <is>
          <t>Stage 5 - Confirmatory analysis</t>
        </is>
      </c>
      <c r="F17" s="3" t="inlineStr">
        <is>
          <t>Critical</t>
        </is>
      </c>
      <c r="G17" s="3" t="inlineStr">
        <is>
          <t>Primary confirmatory claim</t>
        </is>
      </c>
      <c r="H17" s="3" t="inlineStr">
        <is>
          <t>Does the final locked pipeline show meaningful within-person held-out-session generalization?</t>
        </is>
      </c>
      <c r="I17" s="3" t="inlineStr">
        <is>
          <t>Evaluate under leakage-aware claim-matched split logic before interpretation.</t>
        </is>
      </c>
      <c r="J17" s="3" t="inlineStr">
        <is>
          <t>None; final frozen pipeline</t>
        </is>
      </c>
      <c r="K17" s="3" t="inlineStr">
        <is>
          <t>Dataset index version, train-only fitting policy, metric definitions, seed policy, artifact schema.</t>
        </is>
      </c>
      <c r="L17" s="3" t="inlineStr">
        <is>
          <t>Internal repeated-session BAS2 dataset (sub-001 and sub-002) unless explicitly external.</t>
        </is>
      </c>
      <c r="M17" s="3" t="inlineStr">
        <is>
          <t>Locked target after Stage 1 target lock</t>
        </is>
      </c>
      <c r="N17" s="3" t="inlineStr">
        <is>
          <t>within_subject_loso_session</t>
        </is>
      </c>
      <c r="O17" s="3" t="inlineStr">
        <is>
          <t>Performance inflation if split logic or fit scope leaks train/test information.</t>
        </is>
      </c>
      <c r="P17" s="3" t="inlineStr">
        <is>
          <t>Predefined split manifests, train-only fitting, frozen transfer where applicable, no test-driven tuning.</t>
        </is>
      </c>
      <c r="Q17" s="3" t="inlineStr">
        <is>
          <t>Final locked model</t>
        </is>
      </c>
      <c r="R17" s="3" t="inlineStr">
        <is>
          <t>Balanced accuracy</t>
        </is>
      </c>
      <c r="S17" s="3" t="inlineStr">
        <is>
          <t>Macro-F1; class-wise recall; accuracy</t>
        </is>
      </c>
      <c r="T17" s="3" t="inlineStr">
        <is>
          <t>Fold-level checks and stress controls where relevant.</t>
        </is>
      </c>
      <c r="U17" s="3" t="inlineStr">
        <is>
          <t>Primary evidential core of thesis.</t>
        </is>
      </c>
      <c r="V17" s="3" t="inlineStr">
        <is>
          <t>Stable claim-consistent performance without leakage indicators.</t>
        </is>
      </c>
      <c r="W17" s="3" t="inlineStr">
        <is>
          <t>Weak-split inflation, instability, class collapse, or directionally inconsistent evidence.</t>
        </is>
      </c>
      <c r="X17" s="3" t="inlineStr">
        <is>
          <t>Class imbalance, sample limits, domain shift, and model/split sensitivity.</t>
        </is>
      </c>
      <c r="Y17" s="3" t="inlineStr">
        <is>
          <t>Chapter 4 Main results</t>
        </is>
      </c>
      <c r="Z17" s="3" t="inlineStr">
        <is>
          <t>Interpret only under stated split logic/evidence tier; no causal or localization claims.</t>
        </is>
      </c>
      <c r="AA17" s="3" t="inlineStr">
        <is>
          <t>Planned</t>
        </is>
      </c>
      <c r="AB17" s="3" t="inlineStr">
        <is>
          <t>Khaled (thesis author)</t>
        </is>
      </c>
      <c r="AC17" s="3" t="inlineStr"/>
      <c r="AD17" s="3" t="inlineStr"/>
      <c r="AE17" s="3" t="inlineStr"/>
      <c r="AF17" s="3">
        <f>IF($AA17="Dropped","N/A",IF(AND($H17&lt;&gt;"",$J17&lt;&gt;"",$K17&lt;&gt;"",$M17&lt;&gt;"",$N17&lt;&gt;"",$P17&lt;&gt;"",$R17&lt;&gt;"",$U17&lt;&gt;"",$V17&lt;&gt;"",$W17&lt;&gt;"",$Z17&lt;&gt;"",$Y17&lt;&gt;""),"READY","INCOMPLETE"))</f>
        <v/>
      </c>
    </row>
    <row r="18">
      <c r="A18" s="8" t="inlineStr">
        <is>
          <t>E17</t>
        </is>
      </c>
      <c r="B18" s="8" t="inlineStr">
        <is>
          <t>Final cross-person transfer analysis</t>
        </is>
      </c>
      <c r="C18" s="8" t="inlineStr">
        <is>
          <t>Confirmatory core</t>
        </is>
      </c>
      <c r="D18" s="8" t="inlineStr">
        <is>
          <t>Primary confirmatory</t>
        </is>
      </c>
      <c r="E18" s="8" t="inlineStr">
        <is>
          <t>Stage 5 - Confirmatory analysis</t>
        </is>
      </c>
      <c r="F18" s="8" t="inlineStr">
        <is>
          <t>Critical</t>
        </is>
      </c>
      <c r="G18" s="8" t="inlineStr">
        <is>
          <t>Secondary confirmatory transfer claim</t>
        </is>
      </c>
      <c r="H18" s="8" t="inlineStr">
        <is>
          <t>Does the final locked pipeline transfer meaningfully across individuals under frozen directional transfer?</t>
        </is>
      </c>
      <c r="I18" s="8" t="inlineStr">
        <is>
          <t>Evaluate under leakage-aware claim-matched split logic before interpretation.</t>
        </is>
      </c>
      <c r="J18" s="8" t="inlineStr">
        <is>
          <t>None; final frozen pipeline</t>
        </is>
      </c>
      <c r="K18" s="8" t="inlineStr">
        <is>
          <t>Dataset index version, train-only fitting policy, metric definitions, seed policy, artifact schema.</t>
        </is>
      </c>
      <c r="L18" s="8" t="inlineStr">
        <is>
          <t>Internal repeated-session BAS2 dataset (sub-001 and sub-002) unless explicitly external.</t>
        </is>
      </c>
      <c r="M18" s="8" t="inlineStr">
        <is>
          <t>Locked target after Stage 1 target lock</t>
        </is>
      </c>
      <c r="N18" s="8" t="inlineStr">
        <is>
          <t>frozen_cross_person_transfer both directions</t>
        </is>
      </c>
      <c r="O18" s="8" t="inlineStr">
        <is>
          <t>Performance inflation if split logic or fit scope leaks train/test information.</t>
        </is>
      </c>
      <c r="P18" s="8" t="inlineStr">
        <is>
          <t>Predefined split manifests, train-only fitting, frozen transfer where applicable, no test-driven tuning.</t>
        </is>
      </c>
      <c r="Q18" s="8" t="inlineStr">
        <is>
          <t>Final locked model</t>
        </is>
      </c>
      <c r="R18" s="8" t="inlineStr">
        <is>
          <t>Balanced accuracy</t>
        </is>
      </c>
      <c r="S18" s="8" t="inlineStr">
        <is>
          <t>Macro-F1; class-wise recall; accuracy</t>
        </is>
      </c>
      <c r="T18" s="8" t="inlineStr">
        <is>
          <t>Fold-level checks and stress controls where relevant.</t>
        </is>
      </c>
      <c r="U18" s="8" t="inlineStr">
        <is>
          <t>Interpret as cross-case transfer evidence under domain shift.</t>
        </is>
      </c>
      <c r="V18" s="8" t="inlineStr">
        <is>
          <t>Stable claim-consistent performance without leakage indicators.</t>
        </is>
      </c>
      <c r="W18" s="8" t="inlineStr">
        <is>
          <t>Weak-split inflation, instability, class collapse, or directionally inconsistent evidence.</t>
        </is>
      </c>
      <c r="X18" s="8" t="inlineStr">
        <is>
          <t>Class imbalance, sample limits, domain shift, and model/split sensitivity.</t>
        </is>
      </c>
      <c r="Y18" s="8" t="inlineStr">
        <is>
          <t>Chapter 4 Main results</t>
        </is>
      </c>
      <c r="Z18" s="8" t="inlineStr">
        <is>
          <t>Directional transfer evidence only; not population-level generalization.</t>
        </is>
      </c>
      <c r="AA18" s="8" t="inlineStr">
        <is>
          <t>Planned</t>
        </is>
      </c>
      <c r="AB18" s="8" t="inlineStr">
        <is>
          <t>Khaled (thesis author)</t>
        </is>
      </c>
      <c r="AC18" s="8" t="inlineStr"/>
      <c r="AD18" s="8" t="inlineStr"/>
      <c r="AE18" s="8" t="inlineStr"/>
      <c r="AF18" s="8">
        <f>IF($AA18="Dropped","N/A",IF(AND($H18&lt;&gt;"",$J18&lt;&gt;"",$K18&lt;&gt;"",$M18&lt;&gt;"",$N18&lt;&gt;"",$P18&lt;&gt;"",$R18&lt;&gt;"",$U18&lt;&gt;"",$V18&lt;&gt;"",$W18&lt;&gt;"",$Z18&lt;&gt;"",$Y18&lt;&gt;""),"READY","INCOMPLETE"))</f>
        <v/>
      </c>
    </row>
    <row r="19">
      <c r="A19" s="3" t="inlineStr">
        <is>
          <t>E18</t>
        </is>
      </c>
      <c r="B19" s="3" t="inlineStr">
        <is>
          <t>External open-source split replication</t>
        </is>
      </c>
      <c r="C19" s="3" t="inlineStr">
        <is>
          <t>External exploratory</t>
        </is>
      </c>
      <c r="D19" s="3" t="inlineStr">
        <is>
          <t>Exploratory extension</t>
        </is>
      </c>
      <c r="E19" s="3" t="inlineStr">
        <is>
          <t>Stage 7 - Exploratory extension</t>
        </is>
      </c>
      <c r="F19" s="3" t="inlineStr">
        <is>
          <t>Low</t>
        </is>
      </c>
      <c r="G19" s="3" t="inlineStr">
        <is>
          <t>External split-consistency exploration</t>
        </is>
      </c>
      <c r="H19" s="3" t="inlineStr">
        <is>
          <t>Does the same leakage-aware split logic materially affect conclusions on a compatible external open-source dataset?</t>
        </is>
      </c>
      <c r="I19" s="3" t="inlineStr">
        <is>
          <t>Evaluate under leakage-aware claim-matched split logic before interpretation.</t>
        </is>
      </c>
      <c r="J19" s="3" t="inlineStr">
        <is>
          <t>Dataset source</t>
        </is>
      </c>
      <c r="K19" s="3" t="inlineStr">
        <is>
          <t>Dataset index version, train-only fitting policy, metric definitions, seed policy, artifact schema.</t>
        </is>
      </c>
      <c r="L19" s="3" t="inlineStr">
        <is>
          <t>External open-source dataset if available and approved</t>
        </is>
      </c>
      <c r="M19" s="3" t="inlineStr">
        <is>
          <t>coarse_affect unless this experiment manipulates target granularity.</t>
        </is>
      </c>
      <c r="N19" s="3" t="inlineStr">
        <is>
          <t>Claim-matched leakage-safe split strategy.</t>
        </is>
      </c>
      <c r="O19" s="3" t="inlineStr">
        <is>
          <t>Performance inflation if split logic or fit scope leaks train/test information.</t>
        </is>
      </c>
      <c r="P19" s="3" t="inlineStr">
        <is>
          <t>Predefined split manifests, train-only fitting, frozen transfer where applicable, no test-driven tuning.</t>
        </is>
      </c>
      <c r="Q19" s="3" t="inlineStr">
        <is>
          <t>ridge baseline unless model family is manipulated.</t>
        </is>
      </c>
      <c r="R19" s="3" t="inlineStr">
        <is>
          <t>Balanced accuracy</t>
        </is>
      </c>
      <c r="S19" s="3" t="inlineStr">
        <is>
          <t>Macro-F1; class-wise recall; accuracy</t>
        </is>
      </c>
      <c r="T19" s="3" t="inlineStr">
        <is>
          <t>Fold-level checks and stress controls where relevant.</t>
        </is>
      </c>
      <c r="U19" s="3" t="inlineStr">
        <is>
          <t>Pre-specified criterion recorded before interpretation.</t>
        </is>
      </c>
      <c r="V19" s="3" t="inlineStr">
        <is>
          <t>Stable claim-consistent performance without leakage indicators.</t>
        </is>
      </c>
      <c r="W19" s="3" t="inlineStr">
        <is>
          <t>Weak-split inflation, instability, class collapse, or directionally inconsistent evidence.</t>
        </is>
      </c>
      <c r="X19" s="3" t="inlineStr">
        <is>
          <t>Class imbalance, sample limits, domain shift, and model/split sensitivity.</t>
        </is>
      </c>
      <c r="Y19" s="3" t="inlineStr">
        <is>
          <t>Appendix</t>
        </is>
      </c>
      <c r="Z19" s="3" t="inlineStr">
        <is>
          <t>Interpret only under stated split logic/evidence tier; no causal or localization claims.</t>
        </is>
      </c>
      <c r="AA19" s="3" t="inlineStr">
        <is>
          <t>Planned</t>
        </is>
      </c>
      <c r="AB19" s="3" t="inlineStr">
        <is>
          <t>Khaled (thesis author)</t>
        </is>
      </c>
      <c r="AC19" s="3" t="inlineStr"/>
      <c r="AD19" s="3" t="inlineStr"/>
      <c r="AE19" s="3" t="inlineStr"/>
      <c r="AF19" s="3">
        <f>IF($AA19="Dropped","N/A",IF(AND($H19&lt;&gt;"",$J19&lt;&gt;"",$K19&lt;&gt;"",$M19&lt;&gt;"",$N19&lt;&gt;"",$P19&lt;&gt;"",$R19&lt;&gt;"",$U19&lt;&gt;"",$V19&lt;&gt;"",$W19&lt;&gt;"",$Z19&lt;&gt;"",$Y19&lt;&gt;""),"READY","INCOMPLETE"))</f>
        <v/>
      </c>
    </row>
    <row r="20">
      <c r="A20" s="8" t="inlineStr">
        <is>
          <t>E19</t>
        </is>
      </c>
      <c r="B20" s="8" t="inlineStr">
        <is>
          <t>External open-source model portability</t>
        </is>
      </c>
      <c r="C20" s="8" t="inlineStr">
        <is>
          <t>External exploratory</t>
        </is>
      </c>
      <c r="D20" s="8" t="inlineStr">
        <is>
          <t>Exploratory extension</t>
        </is>
      </c>
      <c r="E20" s="8" t="inlineStr">
        <is>
          <t>Stage 7 - Exploratory extension</t>
        </is>
      </c>
      <c r="F20" s="8" t="inlineStr">
        <is>
          <t>Low</t>
        </is>
      </c>
      <c r="G20" s="8" t="inlineStr">
        <is>
          <t>External model portability exploration</t>
        </is>
      </c>
      <c r="H20" s="8" t="inlineStr">
        <is>
          <t>Does the relative ranking of reasonable model choices remain similar on external data?</t>
        </is>
      </c>
      <c r="I20" s="8" t="inlineStr">
        <is>
          <t>Evaluate under leakage-aware claim-matched split logic before interpretation.</t>
        </is>
      </c>
      <c r="J20" s="8" t="inlineStr">
        <is>
          <t>Dataset source with same small model set</t>
        </is>
      </c>
      <c r="K20" s="8" t="inlineStr">
        <is>
          <t>Dataset index version, train-only fitting policy, metric definitions, seed policy, artifact schema.</t>
        </is>
      </c>
      <c r="L20" s="8" t="inlineStr">
        <is>
          <t>External open-source dataset if available and approved</t>
        </is>
      </c>
      <c r="M20" s="8" t="inlineStr">
        <is>
          <t>coarse_affect unless this experiment manipulates target granularity.</t>
        </is>
      </c>
      <c r="N20" s="8" t="inlineStr">
        <is>
          <t>Claim-matched leakage-safe split strategy.</t>
        </is>
      </c>
      <c r="O20" s="8" t="inlineStr">
        <is>
          <t>Performance inflation if split logic or fit scope leaks train/test information.</t>
        </is>
      </c>
      <c r="P20" s="8" t="inlineStr">
        <is>
          <t>Predefined split manifests, train-only fitting, frozen transfer where applicable, no test-driven tuning.</t>
        </is>
      </c>
      <c r="Q20" s="8" t="inlineStr">
        <is>
          <t>ridge vs logreg vs linearsvc</t>
        </is>
      </c>
      <c r="R20" s="8" t="inlineStr">
        <is>
          <t>Balanced accuracy</t>
        </is>
      </c>
      <c r="S20" s="8" t="inlineStr">
        <is>
          <t>Macro-F1; class-wise recall; accuracy</t>
        </is>
      </c>
      <c r="T20" s="8" t="inlineStr">
        <is>
          <t>Fold-level checks and stress controls where relevant.</t>
        </is>
      </c>
      <c r="U20" s="8" t="inlineStr">
        <is>
          <t>Pre-specified criterion recorded before interpretation.</t>
        </is>
      </c>
      <c r="V20" s="8" t="inlineStr">
        <is>
          <t>Stable claim-consistent performance without leakage indicators.</t>
        </is>
      </c>
      <c r="W20" s="8" t="inlineStr">
        <is>
          <t>Weak-split inflation, instability, class collapse, or directionally inconsistent evidence.</t>
        </is>
      </c>
      <c r="X20" s="8" t="inlineStr">
        <is>
          <t>Class imbalance, sample limits, domain shift, and model/split sensitivity.</t>
        </is>
      </c>
      <c r="Y20" s="8" t="inlineStr">
        <is>
          <t>Appendix</t>
        </is>
      </c>
      <c r="Z20" s="8" t="inlineStr">
        <is>
          <t>Interpret only under stated split logic/evidence tier; no causal or localization claims.</t>
        </is>
      </c>
      <c r="AA20" s="8" t="inlineStr">
        <is>
          <t>Planned</t>
        </is>
      </c>
      <c r="AB20" s="8" t="inlineStr">
        <is>
          <t>Khaled (thesis author)</t>
        </is>
      </c>
      <c r="AC20" s="8" t="inlineStr"/>
      <c r="AD20" s="8" t="inlineStr"/>
      <c r="AE20" s="8" t="inlineStr"/>
      <c r="AF20" s="8">
        <f>IF($AA20="Dropped","N/A",IF(AND($H20&lt;&gt;"",$J20&lt;&gt;"",$K20&lt;&gt;"",$M20&lt;&gt;"",$N20&lt;&gt;"",$P20&lt;&gt;"",$R20&lt;&gt;"",$U20&lt;&gt;"",$V20&lt;&gt;"",$W20&lt;&gt;"",$Z20&lt;&gt;"",$Y20&lt;&gt;""),"READY","INCOMPLETE"))</f>
        <v/>
      </c>
    </row>
  </sheetData>
  <autoFilter ref="A1:AF20"/>
  <conditionalFormatting sqref="A2:AF200">
    <cfRule type="expression" priority="1" dxfId="0">
      <formula>$D2="Primary confirmatory"</formula>
    </cfRule>
    <cfRule type="expression" priority="2" dxfId="1">
      <formula>ISNUMBER(SEARCH("Exploratory",$D2))</formula>
    </cfRule>
    <cfRule type="expression" priority="3" dxfId="2">
      <formula>$F2="Critical"</formula>
    </cfRule>
    <cfRule type="expression" priority="4" dxfId="3">
      <formula>$AA2="Dropped"</formula>
    </cfRule>
    <cfRule type="expression" priority="5" dxfId="4">
      <formula>OR($H2="",$J2="",$K2="",$M2="",$N2="",$P2="",$R2="",$U2="",$V2="",$W2="",$Z2="",$Y2="")</formula>
    </cfRule>
  </conditionalFormatting>
  <dataValidations count="6">
    <dataValidation sqref="C2:C500" showDropDown="0" showInputMessage="0" showErrorMessage="0" allowBlank="0" type="list">
      <formula1>=List_Category</formula1>
    </dataValidation>
    <dataValidation sqref="D2:D500" showDropDown="0" showInputMessage="0" showErrorMessage="0" allowBlank="0" type="list">
      <formula1>=List_Evidential_Role</formula1>
    </dataValidation>
    <dataValidation sqref="E2:E500" showDropDown="0" showInputMessage="0" showErrorMessage="0" allowBlank="0" type="list">
      <formula1>=List_Stage</formula1>
    </dataValidation>
    <dataValidation sqref="F2:F500" showDropDown="0" showInputMessage="0" showErrorMessage="0" allowBlank="0" type="list">
      <formula1>=List_Priority</formula1>
    </dataValidation>
    <dataValidation sqref="Y2:Y500" showDropDown="0" showInputMessage="0" showErrorMessage="0" allowBlank="0" type="list">
      <formula1>=List_Reporting_Destination</formula1>
    </dataValidation>
    <dataValidation sqref="AA2:AA500" showDropDown="0" showInputMessage="0" showErrorMessage="0" allowBlank="0" type="list">
      <formula1>=List_Status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0" customWidth="1" min="4" max="4"/>
    <col width="28" customWidth="1" min="5" max="5"/>
    <col width="18" customWidth="1" min="6" max="6"/>
    <col width="28" customWidth="1" min="7" max="7"/>
    <col width="14" customWidth="1" min="8" max="8"/>
    <col width="12" customWidth="1" min="9" max="9"/>
    <col width="14" customWidth="1" min="10" max="10"/>
    <col width="14" customWidth="1" min="11" max="11"/>
    <col width="16" customWidth="1" min="12" max="12"/>
    <col width="18" customWidth="1" min="13" max="13"/>
    <col width="18" customWidth="1" min="14" max="14"/>
    <col width="16" customWidth="1" min="15" max="15"/>
  </cols>
  <sheetData>
    <row r="1">
      <c r="A1" s="7" t="inlineStr">
        <is>
          <t>experiment_id</t>
        </is>
      </c>
      <c r="B1" s="7" t="inlineStr">
        <is>
          <t>enabled</t>
        </is>
      </c>
      <c r="C1" s="7" t="inlineStr">
        <is>
          <t>start_section</t>
        </is>
      </c>
      <c r="D1" s="7" t="inlineStr">
        <is>
          <t>end_section</t>
        </is>
      </c>
      <c r="E1" s="7" t="inlineStr">
        <is>
          <t>base_artifact_id</t>
        </is>
      </c>
      <c r="F1" s="7" t="inlineStr">
        <is>
          <t>target</t>
        </is>
      </c>
      <c r="G1" s="7" t="inlineStr">
        <is>
          <t>cv</t>
        </is>
      </c>
      <c r="H1" s="7" t="inlineStr">
        <is>
          <t>model</t>
        </is>
      </c>
      <c r="I1" s="7" t="inlineStr">
        <is>
          <t>subject</t>
        </is>
      </c>
      <c r="J1" s="7" t="inlineStr">
        <is>
          <t>train_subject</t>
        </is>
      </c>
      <c r="K1" s="7" t="inlineStr">
        <is>
          <t>test_subject</t>
        </is>
      </c>
      <c r="L1" s="7" t="inlineStr">
        <is>
          <t>filter_task</t>
        </is>
      </c>
      <c r="M1" s="7" t="inlineStr">
        <is>
          <t>filter_modality</t>
        </is>
      </c>
      <c r="N1" s="7" t="inlineStr">
        <is>
          <t>reuse_policy</t>
        </is>
      </c>
      <c r="O1" s="7" t="inlineStr">
        <is>
          <t>search_space_id</t>
        </is>
      </c>
    </row>
    <row r="2">
      <c r="A2" s="8" t="inlineStr">
        <is>
          <t>E16</t>
        </is>
      </c>
      <c r="B2" s="8" t="inlineStr">
        <is>
          <t>No</t>
        </is>
      </c>
      <c r="C2" s="8" t="inlineStr">
        <is>
          <t>dataset_selection</t>
        </is>
      </c>
      <c r="D2" s="8" t="inlineStr">
        <is>
          <t>evaluation</t>
        </is>
      </c>
      <c r="E2" s="8" t="inlineStr"/>
      <c r="F2" s="8" t="inlineStr">
        <is>
          <t>coarse_affect</t>
        </is>
      </c>
      <c r="G2" s="8" t="inlineStr">
        <is>
          <t>within_subject_loso_session</t>
        </is>
      </c>
      <c r="H2" s="8" t="inlineStr">
        <is>
          <t>ridge</t>
        </is>
      </c>
      <c r="I2" s="8" t="inlineStr">
        <is>
          <t>sub-001</t>
        </is>
      </c>
      <c r="J2" s="8" t="inlineStr"/>
      <c r="K2" s="8" t="inlineStr"/>
      <c r="L2" s="8" t="inlineStr"/>
      <c r="M2" s="8" t="inlineStr"/>
      <c r="N2" s="8" t="inlineStr">
        <is>
          <t>auto</t>
        </is>
      </c>
      <c r="O2" s="8" t="inlineStr"/>
    </row>
    <row r="3">
      <c r="A3" s="3" t="inlineStr">
        <is>
          <t>E17</t>
        </is>
      </c>
      <c r="B3" s="3" t="inlineStr">
        <is>
          <t>No</t>
        </is>
      </c>
      <c r="C3" s="3" t="inlineStr">
        <is>
          <t>dataset_selection</t>
        </is>
      </c>
      <c r="D3" s="3" t="inlineStr">
        <is>
          <t>evaluation</t>
        </is>
      </c>
      <c r="E3" s="3" t="inlineStr"/>
      <c r="F3" s="3" t="inlineStr">
        <is>
          <t>coarse_affect</t>
        </is>
      </c>
      <c r="G3" s="3" t="inlineStr">
        <is>
          <t>frozen_cross_person_transfer</t>
        </is>
      </c>
      <c r="H3" s="3" t="inlineStr">
        <is>
          <t>ridge</t>
        </is>
      </c>
      <c r="I3" s="3" t="inlineStr"/>
      <c r="J3" s="3" t="inlineStr">
        <is>
          <t>sub-001</t>
        </is>
      </c>
      <c r="K3" s="3" t="inlineStr">
        <is>
          <t>sub-002</t>
        </is>
      </c>
      <c r="L3" s="3" t="inlineStr"/>
      <c r="M3" s="3" t="inlineStr"/>
      <c r="N3" s="3" t="inlineStr">
        <is>
          <t>auto</t>
        </is>
      </c>
      <c r="O3" s="3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</sheetData>
  <autoFilter ref="A1:O81"/>
  <dataValidations count="6">
    <dataValidation sqref="A2:A1000" showDropDown="0" showInputMessage="0" showErrorMessage="0" allowBlank="1" type="list">
      <formula1>=List_Experiment_ID</formula1>
    </dataValidation>
    <dataValidation sqref="B2:B1000" showDropDown="0" showInputMessage="0" showErrorMessage="0" allowBlank="1" type="list">
      <formula1>=List_YesNo</formula1>
    </dataValidation>
    <dataValidation sqref="C2:C1000" showDropDown="0" showInputMessage="0" showErrorMessage="0" allowBlank="1" type="list">
      <formula1>=List_Execution_Section</formula1>
    </dataValidation>
    <dataValidation sqref="D2:D1000" showDropDown="0" showInputMessage="0" showErrorMessage="0" allowBlank="1" type="list">
      <formula1>=List_Execution_Section</formula1>
    </dataValidation>
    <dataValidation sqref="N2:N1000" showDropDown="0" showInputMessage="0" showErrorMessage="0" allowBlank="1" type="list">
      <formula1>=List_Reuse_Policy</formula1>
    </dataValidation>
    <dataValidation sqref="O2:O1000" showDropDown="0" showInputMessage="0" showErrorMessage="0" allowBlank="1" type="list">
      <formula1>=List_Search_Space_ID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4" customWidth="1" min="4" max="4"/>
    <col width="34" customWidth="1" min="5" max="5"/>
    <col width="14" customWidth="1" min="6" max="6"/>
    <col width="20" customWidth="1" min="7" max="7"/>
    <col width="12" customWidth="1" min="8" max="8"/>
    <col width="32" customWidth="1" min="9" max="9"/>
  </cols>
  <sheetData>
    <row r="1">
      <c r="A1" s="9" t="inlineStr">
        <is>
          <t>Search Space Definitions</t>
        </is>
      </c>
    </row>
    <row r="2">
      <c r="A2" s="7" t="inlineStr">
        <is>
          <t>search_space_id</t>
        </is>
      </c>
      <c r="B2" s="7" t="inlineStr">
        <is>
          <t>enabled</t>
        </is>
      </c>
      <c r="C2" s="7" t="inlineStr">
        <is>
          <t>optimization_mode</t>
        </is>
      </c>
      <c r="D2" s="7" t="inlineStr">
        <is>
          <t>parameter_name</t>
        </is>
      </c>
      <c r="E2" s="7" t="inlineStr">
        <is>
          <t>parameter_values</t>
        </is>
      </c>
      <c r="F2" s="7" t="inlineStr">
        <is>
          <t>parameter_scope</t>
        </is>
      </c>
      <c r="G2" s="7" t="inlineStr">
        <is>
          <t>objective_metric</t>
        </is>
      </c>
      <c r="H2" s="7" t="inlineStr">
        <is>
          <t>max_trials</t>
        </is>
      </c>
      <c r="I2" s="7" t="inlineStr">
        <is>
          <t>notes</t>
        </is>
      </c>
    </row>
    <row r="3">
      <c r="A3" s="3" t="inlineStr">
        <is>
          <t>SS01</t>
        </is>
      </c>
      <c r="B3" s="3" t="inlineStr">
        <is>
          <t>No</t>
        </is>
      </c>
      <c r="C3" s="3" t="inlineStr">
        <is>
          <t>deterministic_grid</t>
        </is>
      </c>
      <c r="D3" s="3" t="inlineStr">
        <is>
          <t>model</t>
        </is>
      </c>
      <c r="E3" s="3" t="inlineStr">
        <is>
          <t>ridge|logreg|linearsvc</t>
        </is>
      </c>
      <c r="F3" s="3" t="inlineStr">
        <is>
          <t>parameter</t>
        </is>
      </c>
      <c r="G3" s="3" t="inlineStr">
        <is>
          <t>balanced_accuracy</t>
        </is>
      </c>
      <c r="H3" s="3" t="inlineStr"/>
      <c r="I3" s="3" t="inlineStr">
        <is>
          <t>Example model-family search.</t>
        </is>
      </c>
    </row>
    <row r="4">
      <c r="A4" s="8" t="inlineStr">
        <is>
          <t>SS01</t>
        </is>
      </c>
      <c r="B4" s="8" t="inlineStr">
        <is>
          <t>No</t>
        </is>
      </c>
      <c r="C4" s="8" t="inlineStr">
        <is>
          <t>deterministic_grid</t>
        </is>
      </c>
      <c r="D4" s="8" t="inlineStr">
        <is>
          <t>start_section</t>
        </is>
      </c>
      <c r="E4" s="8" t="inlineStr">
        <is>
          <t>dataset_selection|feature_matrix_load</t>
        </is>
      </c>
      <c r="F4" s="8" t="inlineStr">
        <is>
          <t>segment</t>
        </is>
      </c>
      <c r="G4" s="8" t="inlineStr">
        <is>
          <t>balanced_accuracy</t>
        </is>
      </c>
      <c r="H4" s="8" t="inlineStr"/>
      <c r="I4" s="8" t="inlineStr">
        <is>
          <t>Example section-start search.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</sheetData>
  <autoFilter ref="A2:I61"/>
  <mergeCells count="1">
    <mergeCell ref="A1:I1"/>
  </mergeCells>
  <dataValidations count="3">
    <dataValidation sqref="B3:B1000" showDropDown="0" showInputMessage="0" showErrorMessage="0" allowBlank="1" type="list">
      <formula1>=List_YesNo</formula1>
    </dataValidation>
    <dataValidation sqref="C3:C1000" showDropDown="0" showInputMessage="0" showErrorMessage="0" allowBlank="1" type="list">
      <formula1>=List_Search_Optimization_Mode</formula1>
    </dataValidation>
    <dataValidation sqref="F3:F1000" showDropDown="0" showInputMessage="0" showErrorMessage="0" allowBlank="1" type="list">
      <formula1>=List_Search_Parameter_Scope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20" customWidth="1" min="4" max="4"/>
    <col width="14" customWidth="1" min="5" max="5"/>
    <col width="36" customWidth="1" min="6" max="6"/>
    <col width="34" customWidth="1" min="7" max="7"/>
    <col width="18" customWidth="1" min="8" max="8"/>
    <col width="16" customWidth="1" min="9" max="9"/>
    <col width="24" customWidth="1" min="10" max="10"/>
    <col width="18" customWidth="1" min="11" max="11"/>
    <col width="20" customWidth="1" min="12" max="12"/>
    <col width="24" customWidth="1" min="13" max="13"/>
    <col width="10" customWidth="1" min="14" max="14"/>
    <col width="14" customWidth="1" min="15" max="15"/>
    <col width="18" customWidth="1" min="16" max="16"/>
    <col width="18" customWidth="1" min="17" max="17"/>
    <col width="18" customWidth="1" min="18" max="18"/>
    <col width="18" customWidth="1" min="19" max="19"/>
    <col width="14" customWidth="1" min="20" max="20"/>
    <col width="18" customWidth="1" min="21" max="21"/>
    <col width="24" customWidth="1" min="22" max="22"/>
    <col width="34" customWidth="1" min="23" max="23"/>
  </cols>
  <sheetData>
    <row r="1">
      <c r="A1" s="9" t="inlineStr">
        <is>
          <t>Study Design (Factorial and Custom Matrices)</t>
        </is>
      </c>
    </row>
    <row r="2">
      <c r="A2" s="7" t="inlineStr">
        <is>
          <t>study_id</t>
        </is>
      </c>
      <c r="B2" s="7" t="inlineStr">
        <is>
          <t>study_name</t>
        </is>
      </c>
      <c r="C2" s="7" t="inlineStr">
        <is>
          <t>enabled</t>
        </is>
      </c>
      <c r="D2" s="7" t="inlineStr">
        <is>
          <t>study_type</t>
        </is>
      </c>
      <c r="E2" s="7" t="inlineStr">
        <is>
          <t>intent</t>
        </is>
      </c>
      <c r="F2" s="7" t="inlineStr">
        <is>
          <t>question</t>
        </is>
      </c>
      <c r="G2" s="7" t="inlineStr">
        <is>
          <t>generalization_claim</t>
        </is>
      </c>
      <c r="H2" s="7" t="inlineStr">
        <is>
          <t>start_section</t>
        </is>
      </c>
      <c r="I2" s="7" t="inlineStr">
        <is>
          <t>end_section</t>
        </is>
      </c>
      <c r="J2" s="7" t="inlineStr">
        <is>
          <t>base_artifact_id</t>
        </is>
      </c>
      <c r="K2" s="7" t="inlineStr">
        <is>
          <t>primary_metric</t>
        </is>
      </c>
      <c r="L2" s="7" t="inlineStr">
        <is>
          <t>secondary_metrics</t>
        </is>
      </c>
      <c r="M2" s="7" t="inlineStr">
        <is>
          <t>cv_scheme</t>
        </is>
      </c>
      <c r="N2" s="7" t="inlineStr">
        <is>
          <t>nested_cv</t>
        </is>
      </c>
      <c r="O2" s="7" t="inlineStr">
        <is>
          <t>external_validation_planned</t>
        </is>
      </c>
      <c r="P2" s="7" t="inlineStr">
        <is>
          <t>blocking_strategy</t>
        </is>
      </c>
      <c r="Q2" s="7" t="inlineStr">
        <is>
          <t>randomization_strategy</t>
        </is>
      </c>
      <c r="R2" s="7" t="inlineStr">
        <is>
          <t>replication_mode</t>
        </is>
      </c>
      <c r="S2" s="7" t="inlineStr">
        <is>
          <t>replication_strategy</t>
        </is>
      </c>
      <c r="T2" s="7" t="inlineStr">
        <is>
          <t>num_repeats</t>
        </is>
      </c>
      <c r="U2" s="7" t="inlineStr">
        <is>
          <t>random_seed_policy</t>
        </is>
      </c>
      <c r="V2" s="7" t="inlineStr">
        <is>
          <t>stopping_rule</t>
        </is>
      </c>
      <c r="W2" s="7" t="inlineStr">
        <is>
          <t>notes</t>
        </is>
      </c>
    </row>
    <row r="3">
      <c r="A3" s="3" t="inlineStr">
        <is>
          <t>S01</t>
        </is>
      </c>
      <c r="B3" s="3" t="inlineStr">
        <is>
          <t>Example full factorial study</t>
        </is>
      </c>
      <c r="C3" s="3" t="inlineStr">
        <is>
          <t>No</t>
        </is>
      </c>
      <c r="D3" s="3" t="inlineStr">
        <is>
          <t>full_factorial</t>
        </is>
      </c>
      <c r="E3" s="3" t="inlineStr">
        <is>
          <t>exploratory</t>
        </is>
      </c>
      <c r="F3" s="3" t="inlineStr">
        <is>
          <t>How do model and task filter settings change balanced accuracy?</t>
        </is>
      </c>
      <c r="G3" s="3" t="inlineStr">
        <is>
          <t>Within-dataset transfer across held-out sessions only.</t>
        </is>
      </c>
      <c r="H3" s="3" t="inlineStr">
        <is>
          <t>dataset_selection</t>
        </is>
      </c>
      <c r="I3" s="3" t="inlineStr">
        <is>
          <t>evaluation</t>
        </is>
      </c>
      <c r="J3" s="3" t="inlineStr"/>
      <c r="K3" s="3" t="inlineStr">
        <is>
          <t>balanced_accuracy</t>
        </is>
      </c>
      <c r="L3" s="3" t="inlineStr">
        <is>
          <t>macro_f1|accuracy</t>
        </is>
      </c>
      <c r="M3" s="3" t="inlineStr">
        <is>
          <t>within_subject_loso_session</t>
        </is>
      </c>
      <c r="N3" s="3" t="inlineStr">
        <is>
          <t>No</t>
        </is>
      </c>
      <c r="O3" s="3" t="inlineStr">
        <is>
          <t>No</t>
        </is>
      </c>
      <c r="P3" s="3" t="inlineStr">
        <is>
          <t>none</t>
        </is>
      </c>
      <c r="Q3" s="3" t="inlineStr">
        <is>
          <t>fixed_order</t>
        </is>
      </c>
      <c r="R3" s="3" t="inlineStr">
        <is>
          <t>fixed_repeats</t>
        </is>
      </c>
      <c r="S3" s="3" t="inlineStr">
        <is>
          <t>fixed_repeats</t>
        </is>
      </c>
      <c r="T3" s="3" t="inlineStr">
        <is>
          <t>1</t>
        </is>
      </c>
      <c r="U3" s="3" t="inlineStr">
        <is>
          <t>fixed</t>
        </is>
      </c>
      <c r="V3" s="3" t="inlineStr">
        <is>
          <t>Complete all planned design cells.</t>
        </is>
      </c>
      <c r="W3" s="3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</row>
  </sheetData>
  <autoFilter ref="A2:W61"/>
  <mergeCells count="1">
    <mergeCell ref="A1:W1"/>
  </mergeCells>
  <dataValidations count="12">
    <dataValidation sqref="C3:C1000" showDropDown="0" showInputMessage="0" showErrorMessage="0" allowBlank="1" type="list">
      <formula1>=List_YesNo</formula1>
    </dataValidation>
    <dataValidation sqref="D3:D1000" showDropDown="0" showInputMessage="0" showErrorMessage="0" allowBlank="1" type="list">
      <formula1>=List_Study_Type</formula1>
    </dataValidation>
    <dataValidation sqref="E3:E1000" showDropDown="0" showInputMessage="0" showErrorMessage="0" allowBlank="1" type="list">
      <formula1>=List_Study_Intent</formula1>
    </dataValidation>
    <dataValidation sqref="H3:H1000" showDropDown="0" showInputMessage="0" showErrorMessage="0" allowBlank="1" type="list">
      <formula1>=List_Execution_Section</formula1>
    </dataValidation>
    <dataValidation sqref="I3:I1000" showDropDown="0" showInputMessage="0" showErrorMessage="0" allowBlank="1" type="list">
      <formula1>=List_Execution_Section</formula1>
    </dataValidation>
    <dataValidation sqref="R3:R1000" showDropDown="0" showInputMessage="0" showErrorMessage="0" allowBlank="1" type="list">
      <formula1>=List_Replication_Mode</formula1>
    </dataValidation>
    <dataValidation sqref="N3:N1000" showDropDown="0" showInputMessage="0" showErrorMessage="0" allowBlank="1" type="list">
      <formula1>=List_YesNo</formula1>
    </dataValidation>
    <dataValidation sqref="O3:O1000" showDropDown="0" showInputMessage="0" showErrorMessage="0" allowBlank="1" type="list">
      <formula1>=List_YesNo</formula1>
    </dataValidation>
    <dataValidation sqref="P3:P1000" showDropDown="0" showInputMessage="0" showErrorMessage="0" allowBlank="1" type="list">
      <formula1>=List_Blocking_Strategy</formula1>
    </dataValidation>
    <dataValidation sqref="Q3:Q1000" showDropDown="0" showInputMessage="0" showErrorMessage="0" allowBlank="1" type="list">
      <formula1>=List_Randomization_Strategy</formula1>
    </dataValidation>
    <dataValidation sqref="S3:S1000" showDropDown="0" showInputMessage="0" showErrorMessage="0" allowBlank="1" type="list">
      <formula1>=List_Replication_Strategy</formula1>
    </dataValidation>
    <dataValidation sqref="U3:U1000" showDropDown="0" showInputMessage="0" showErrorMessage="0" allowBlank="1" type="list">
      <formula1>=List_Random_Seed_Policy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2" customWidth="1" min="4" max="4"/>
    <col width="22" customWidth="1" min="5" max="5"/>
    <col width="28" customWidth="1" min="6" max="6"/>
    <col width="28" customWidth="1" min="7" max="7"/>
    <col width="24" customWidth="1" min="8" max="8"/>
    <col width="30" customWidth="1" min="9" max="9"/>
    <col width="22" customWidth="1" min="10" max="10"/>
    <col width="20" customWidth="1" min="11" max="11"/>
    <col width="22" customWidth="1" min="12" max="12"/>
    <col width="34" customWidth="1" min="13" max="13"/>
  </cols>
  <sheetData>
    <row r="1">
      <c r="A1" s="9" t="inlineStr">
        <is>
          <t>Study Rigor Checklist</t>
        </is>
      </c>
    </row>
    <row r="2">
      <c r="A2" s="7" t="inlineStr">
        <is>
          <t>study_id</t>
        </is>
      </c>
      <c r="B2" s="7" t="inlineStr">
        <is>
          <t>leakage_risk_reviewed</t>
        </is>
      </c>
      <c r="C2" s="7" t="inlineStr">
        <is>
          <t>deployment_boundary_defined</t>
        </is>
      </c>
      <c r="D2" s="7" t="inlineStr">
        <is>
          <t>unit_of_analysis_defined</t>
        </is>
      </c>
      <c r="E2" s="7" t="inlineStr">
        <is>
          <t>data_hierarchy_defined</t>
        </is>
      </c>
      <c r="F2" s="7" t="inlineStr">
        <is>
          <t>missing_data_plan</t>
        </is>
      </c>
      <c r="G2" s="7" t="inlineStr">
        <is>
          <t>class_imbalance_plan</t>
        </is>
      </c>
      <c r="H2" s="7" t="inlineStr">
        <is>
          <t>subgroup_plan</t>
        </is>
      </c>
      <c r="I2" s="7" t="inlineStr">
        <is>
          <t>fairness_or_applicability_notes</t>
        </is>
      </c>
      <c r="J2" s="7" t="inlineStr">
        <is>
          <t>reporting_checklist_completed</t>
        </is>
      </c>
      <c r="K2" s="7" t="inlineStr">
        <is>
          <t>risk_of_bias_reviewed</t>
        </is>
      </c>
      <c r="L2" s="7" t="inlineStr">
        <is>
          <t>confirmatory_lock_applied</t>
        </is>
      </c>
      <c r="M2" s="7" t="inlineStr">
        <is>
          <t>analysis_notes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</row>
  </sheetData>
  <autoFilter ref="A2:M61"/>
  <mergeCells count="1">
    <mergeCell ref="A1:M1"/>
  </mergeCells>
  <dataValidations count="8">
    <dataValidation sqref="A3:A1000" showDropDown="0" showInputMessage="0" showErrorMessage="0" allowBlank="1" type="list">
      <formula1>=List_Study_ID</formula1>
    </dataValidation>
    <dataValidation sqref="B3:B1000" showDropDown="0" showInputMessage="0" showErrorMessage="0" allowBlank="1" type="list">
      <formula1>=List_YesNo</formula1>
    </dataValidation>
    <dataValidation sqref="C3:C1000" showDropDown="0" showInputMessage="0" showErrorMessage="0" allowBlank="1" type="list">
      <formula1>=List_YesNo</formula1>
    </dataValidation>
    <dataValidation sqref="D3:D1000" showDropDown="0" showInputMessage="0" showErrorMessage="0" allowBlank="1" type="list">
      <formula1>=List_YesNo</formula1>
    </dataValidation>
    <dataValidation sqref="E3:E1000" showDropDown="0" showInputMessage="0" showErrorMessage="0" allowBlank="1" type="list">
      <formula1>=List_YesNo</formula1>
    </dataValidation>
    <dataValidation sqref="J3:J1000" showDropDown="0" showInputMessage="0" showErrorMessage="0" allowBlank="1" type="list">
      <formula1>=List_YesNo</formula1>
    </dataValidation>
    <dataValidation sqref="K3:K1000" showDropDown="0" showInputMessage="0" showErrorMessage="0" allowBlank="1" type="list">
      <formula1>=List_YesNo</formula1>
    </dataValidation>
    <dataValidation sqref="L3:L1000" showDropDown="0" showInputMessage="0" showErrorMessage="0" allowBlank="1" type="list">
      <formula1>=List_YesNo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8" customWidth="1" min="4" max="4"/>
    <col width="18" customWidth="1" min="5" max="5"/>
    <col width="24" customWidth="1" min="6" max="6"/>
    <col width="24" customWidth="1" min="7" max="7"/>
    <col width="32" customWidth="1" min="8" max="8"/>
    <col width="34" customWidth="1" min="9" max="9"/>
  </cols>
  <sheetData>
    <row r="1">
      <c r="A1" s="9" t="inlineStr">
        <is>
          <t>Analysis Plan</t>
        </is>
      </c>
    </row>
    <row r="2">
      <c r="A2" s="7" t="inlineStr">
        <is>
          <t>study_id</t>
        </is>
      </c>
      <c r="B2" s="7" t="inlineStr">
        <is>
          <t>primary_contrast</t>
        </is>
      </c>
      <c r="C2" s="7" t="inlineStr">
        <is>
          <t>secondary_contrasts</t>
        </is>
      </c>
      <c r="D2" s="7" t="inlineStr">
        <is>
          <t>aggregation_level</t>
        </is>
      </c>
      <c r="E2" s="7" t="inlineStr">
        <is>
          <t>uncertainty_method</t>
        </is>
      </c>
      <c r="F2" s="7" t="inlineStr">
        <is>
          <t>multiplicity_handling</t>
        </is>
      </c>
      <c r="G2" s="7" t="inlineStr">
        <is>
          <t>interaction_reporting_policy</t>
        </is>
      </c>
      <c r="H2" s="7" t="inlineStr">
        <is>
          <t>interpretation_rules</t>
        </is>
      </c>
      <c r="I2" s="7" t="inlineStr">
        <is>
          <t>notes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</sheetData>
  <autoFilter ref="A2:I61"/>
  <mergeCells count="1">
    <mergeCell ref="A1:I1"/>
  </mergeCells>
  <dataValidations count="5">
    <dataValidation sqref="A3:A1000" showDropDown="0" showInputMessage="0" showErrorMessage="0" allowBlank="1" type="list">
      <formula1>=List_Study_ID</formula1>
    </dataValidation>
    <dataValidation sqref="D3:D1000" showDropDown="0" showInputMessage="0" showErrorMessage="0" allowBlank="1" type="list">
      <formula1>=List_Aggregation_Level</formula1>
    </dataValidation>
    <dataValidation sqref="E3:E1000" showDropDown="0" showInputMessage="0" showErrorMessage="0" allowBlank="1" type="list">
      <formula1>=List_Uncertainty_Method</formula1>
    </dataValidation>
    <dataValidation sqref="F3:F1000" showDropDown="0" showInputMessage="0" showErrorMessage="0" allowBlank="1" type="list">
      <formula1>=List_Multiplicity_Handling</formula1>
    </dataValidation>
    <dataValidation sqref="G3:G1000" showDropDown="0" showInputMessage="0" showErrorMessage="0" allowBlank="1" type="list">
      <formula1>=List_Interaction_Reporting_Policy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6" customWidth="1" min="4" max="4"/>
    <col width="14" customWidth="1" min="5" max="5"/>
    <col width="34" customWidth="1" min="6" max="6"/>
  </cols>
  <sheetData>
    <row r="1">
      <c r="A1" s="9" t="inlineStr">
        <is>
          <t>Factor Definitions</t>
        </is>
      </c>
    </row>
    <row r="2">
      <c r="A2" s="7" t="inlineStr">
        <is>
          <t>study_id</t>
        </is>
      </c>
      <c r="B2" s="7" t="inlineStr">
        <is>
          <t>factor_name</t>
        </is>
      </c>
      <c r="C2" s="7" t="inlineStr">
        <is>
          <t>section_name</t>
        </is>
      </c>
      <c r="D2" s="7" t="inlineStr">
        <is>
          <t>parameter_path</t>
        </is>
      </c>
      <c r="E2" s="7" t="inlineStr">
        <is>
          <t>factor_type</t>
        </is>
      </c>
      <c r="F2" s="7" t="inlineStr">
        <is>
          <t>levels</t>
        </is>
      </c>
    </row>
    <row r="3">
      <c r="A3" s="3" t="inlineStr">
        <is>
          <t>S01</t>
        </is>
      </c>
      <c r="B3" s="3" t="inlineStr">
        <is>
          <t>model</t>
        </is>
      </c>
      <c r="C3" s="3" t="inlineStr"/>
      <c r="D3" s="3" t="inlineStr">
        <is>
          <t>model</t>
        </is>
      </c>
      <c r="E3" s="3" t="inlineStr">
        <is>
          <t>categorical</t>
        </is>
      </c>
      <c r="F3" s="3" t="inlineStr">
        <is>
          <t>ridge|logreg</t>
        </is>
      </c>
    </row>
    <row r="4">
      <c r="A4" s="8" t="inlineStr">
        <is>
          <t>S01</t>
        </is>
      </c>
      <c r="B4" s="8" t="inlineStr">
        <is>
          <t>filter_task</t>
        </is>
      </c>
      <c r="C4" s="8" t="inlineStr"/>
      <c r="D4" s="8" t="inlineStr">
        <is>
          <t>filter_task</t>
        </is>
      </c>
      <c r="E4" s="8" t="inlineStr">
        <is>
          <t>categorical</t>
        </is>
      </c>
      <c r="F4" s="8" t="inlineStr">
        <is>
          <t>passive|emo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8" t="n"/>
      <c r="B6" s="8" t="n"/>
      <c r="C6" s="8" t="n"/>
      <c r="D6" s="8" t="n"/>
      <c r="E6" s="8" t="n"/>
      <c r="F6" s="8" t="n"/>
    </row>
    <row r="7">
      <c r="A7" s="3" t="n"/>
      <c r="B7" s="3" t="n"/>
      <c r="C7" s="3" t="n"/>
      <c r="D7" s="3" t="n"/>
      <c r="E7" s="3" t="n"/>
      <c r="F7" s="3" t="n"/>
    </row>
    <row r="8">
      <c r="A8" s="8" t="n"/>
      <c r="B8" s="8" t="n"/>
      <c r="C8" s="8" t="n"/>
      <c r="D8" s="8" t="n"/>
      <c r="E8" s="8" t="n"/>
      <c r="F8" s="8" t="n"/>
    </row>
    <row r="9">
      <c r="A9" s="3" t="n"/>
      <c r="B9" s="3" t="n"/>
      <c r="C9" s="3" t="n"/>
      <c r="D9" s="3" t="n"/>
      <c r="E9" s="3" t="n"/>
      <c r="F9" s="3" t="n"/>
    </row>
    <row r="10">
      <c r="A10" s="8" t="n"/>
      <c r="B10" s="8" t="n"/>
      <c r="C10" s="8" t="n"/>
      <c r="D10" s="8" t="n"/>
      <c r="E10" s="8" t="n"/>
      <c r="F10" s="8" t="n"/>
    </row>
    <row r="11">
      <c r="A11" s="3" t="n"/>
      <c r="B11" s="3" t="n"/>
      <c r="C11" s="3" t="n"/>
      <c r="D11" s="3" t="n"/>
      <c r="E11" s="3" t="n"/>
      <c r="F11" s="3" t="n"/>
    </row>
    <row r="12">
      <c r="A12" s="8" t="n"/>
      <c r="B12" s="8" t="n"/>
      <c r="C12" s="8" t="n"/>
      <c r="D12" s="8" t="n"/>
      <c r="E12" s="8" t="n"/>
      <c r="F12" s="8" t="n"/>
    </row>
    <row r="13">
      <c r="A13" s="3" t="n"/>
      <c r="B13" s="3" t="n"/>
      <c r="C13" s="3" t="n"/>
      <c r="D13" s="3" t="n"/>
      <c r="E13" s="3" t="n"/>
      <c r="F13" s="3" t="n"/>
    </row>
    <row r="14">
      <c r="A14" s="8" t="n"/>
      <c r="B14" s="8" t="n"/>
      <c r="C14" s="8" t="n"/>
      <c r="D14" s="8" t="n"/>
      <c r="E14" s="8" t="n"/>
      <c r="F14" s="8" t="n"/>
    </row>
    <row r="15">
      <c r="A15" s="3" t="n"/>
      <c r="B15" s="3" t="n"/>
      <c r="C15" s="3" t="n"/>
      <c r="D15" s="3" t="n"/>
      <c r="E15" s="3" t="n"/>
      <c r="F15" s="3" t="n"/>
    </row>
    <row r="16">
      <c r="A16" s="8" t="n"/>
      <c r="B16" s="8" t="n"/>
      <c r="C16" s="8" t="n"/>
      <c r="D16" s="8" t="n"/>
      <c r="E16" s="8" t="n"/>
      <c r="F16" s="8" t="n"/>
    </row>
    <row r="17">
      <c r="A17" s="3" t="n"/>
      <c r="B17" s="3" t="n"/>
      <c r="C17" s="3" t="n"/>
      <c r="D17" s="3" t="n"/>
      <c r="E17" s="3" t="n"/>
      <c r="F17" s="3" t="n"/>
    </row>
    <row r="18">
      <c r="A18" s="8" t="n"/>
      <c r="B18" s="8" t="n"/>
      <c r="C18" s="8" t="n"/>
      <c r="D18" s="8" t="n"/>
      <c r="E18" s="8" t="n"/>
      <c r="F18" s="8" t="n"/>
    </row>
    <row r="19">
      <c r="A19" s="3" t="n"/>
      <c r="B19" s="3" t="n"/>
      <c r="C19" s="3" t="n"/>
      <c r="D19" s="3" t="n"/>
      <c r="E19" s="3" t="n"/>
      <c r="F19" s="3" t="n"/>
    </row>
    <row r="20">
      <c r="A20" s="8" t="n"/>
      <c r="B20" s="8" t="n"/>
      <c r="C20" s="8" t="n"/>
      <c r="D20" s="8" t="n"/>
      <c r="E20" s="8" t="n"/>
      <c r="F20" s="8" t="n"/>
    </row>
    <row r="21">
      <c r="A21" s="3" t="n"/>
      <c r="B21" s="3" t="n"/>
      <c r="C21" s="3" t="n"/>
      <c r="D21" s="3" t="n"/>
      <c r="E21" s="3" t="n"/>
      <c r="F21" s="3" t="n"/>
    </row>
    <row r="22">
      <c r="A22" s="8" t="n"/>
      <c r="B22" s="8" t="n"/>
      <c r="C22" s="8" t="n"/>
      <c r="D22" s="8" t="n"/>
      <c r="E22" s="8" t="n"/>
      <c r="F22" s="8" t="n"/>
    </row>
    <row r="23">
      <c r="A23" s="3" t="n"/>
      <c r="B23" s="3" t="n"/>
      <c r="C23" s="3" t="n"/>
      <c r="D23" s="3" t="n"/>
      <c r="E23" s="3" t="n"/>
      <c r="F23" s="3" t="n"/>
    </row>
    <row r="24">
      <c r="A24" s="8" t="n"/>
      <c r="B24" s="8" t="n"/>
      <c r="C24" s="8" t="n"/>
      <c r="D24" s="8" t="n"/>
      <c r="E24" s="8" t="n"/>
      <c r="F24" s="8" t="n"/>
    </row>
    <row r="25">
      <c r="A25" s="3" t="n"/>
      <c r="B25" s="3" t="n"/>
      <c r="C25" s="3" t="n"/>
      <c r="D25" s="3" t="n"/>
      <c r="E25" s="3" t="n"/>
      <c r="F25" s="3" t="n"/>
    </row>
    <row r="26">
      <c r="A26" s="8" t="n"/>
      <c r="B26" s="8" t="n"/>
      <c r="C26" s="8" t="n"/>
      <c r="D26" s="8" t="n"/>
      <c r="E26" s="8" t="n"/>
      <c r="F26" s="8" t="n"/>
    </row>
    <row r="27">
      <c r="A27" s="3" t="n"/>
      <c r="B27" s="3" t="n"/>
      <c r="C27" s="3" t="n"/>
      <c r="D27" s="3" t="n"/>
      <c r="E27" s="3" t="n"/>
      <c r="F27" s="3" t="n"/>
    </row>
    <row r="28">
      <c r="A28" s="8" t="n"/>
      <c r="B28" s="8" t="n"/>
      <c r="C28" s="8" t="n"/>
      <c r="D28" s="8" t="n"/>
      <c r="E28" s="8" t="n"/>
      <c r="F28" s="8" t="n"/>
    </row>
    <row r="29">
      <c r="A29" s="3" t="n"/>
      <c r="B29" s="3" t="n"/>
      <c r="C29" s="3" t="n"/>
      <c r="D29" s="3" t="n"/>
      <c r="E29" s="3" t="n"/>
      <c r="F29" s="3" t="n"/>
    </row>
    <row r="30">
      <c r="A30" s="8" t="n"/>
      <c r="B30" s="8" t="n"/>
      <c r="C30" s="8" t="n"/>
      <c r="D30" s="8" t="n"/>
      <c r="E30" s="8" t="n"/>
      <c r="F30" s="8" t="n"/>
    </row>
    <row r="31">
      <c r="A31" s="3" t="n"/>
      <c r="B31" s="3" t="n"/>
      <c r="C31" s="3" t="n"/>
      <c r="D31" s="3" t="n"/>
      <c r="E31" s="3" t="n"/>
      <c r="F31" s="3" t="n"/>
    </row>
    <row r="32">
      <c r="A32" s="8" t="n"/>
      <c r="B32" s="8" t="n"/>
      <c r="C32" s="8" t="n"/>
      <c r="D32" s="8" t="n"/>
      <c r="E32" s="8" t="n"/>
      <c r="F32" s="8" t="n"/>
    </row>
    <row r="33">
      <c r="A33" s="3" t="n"/>
      <c r="B33" s="3" t="n"/>
      <c r="C33" s="3" t="n"/>
      <c r="D33" s="3" t="n"/>
      <c r="E33" s="3" t="n"/>
      <c r="F33" s="3" t="n"/>
    </row>
    <row r="34">
      <c r="A34" s="8" t="n"/>
      <c r="B34" s="8" t="n"/>
      <c r="C34" s="8" t="n"/>
      <c r="D34" s="8" t="n"/>
      <c r="E34" s="8" t="n"/>
      <c r="F34" s="8" t="n"/>
    </row>
    <row r="35">
      <c r="A35" s="3" t="n"/>
      <c r="B35" s="3" t="n"/>
      <c r="C35" s="3" t="n"/>
      <c r="D35" s="3" t="n"/>
      <c r="E35" s="3" t="n"/>
      <c r="F35" s="3" t="n"/>
    </row>
    <row r="36">
      <c r="A36" s="8" t="n"/>
      <c r="B36" s="8" t="n"/>
      <c r="C36" s="8" t="n"/>
      <c r="D36" s="8" t="n"/>
      <c r="E36" s="8" t="n"/>
      <c r="F36" s="8" t="n"/>
    </row>
    <row r="37">
      <c r="A37" s="3" t="n"/>
      <c r="B37" s="3" t="n"/>
      <c r="C37" s="3" t="n"/>
      <c r="D37" s="3" t="n"/>
      <c r="E37" s="3" t="n"/>
      <c r="F37" s="3" t="n"/>
    </row>
    <row r="38">
      <c r="A38" s="8" t="n"/>
      <c r="B38" s="8" t="n"/>
      <c r="C38" s="8" t="n"/>
      <c r="D38" s="8" t="n"/>
      <c r="E38" s="8" t="n"/>
      <c r="F38" s="8" t="n"/>
    </row>
    <row r="39">
      <c r="A39" s="3" t="n"/>
      <c r="B39" s="3" t="n"/>
      <c r="C39" s="3" t="n"/>
      <c r="D39" s="3" t="n"/>
      <c r="E39" s="3" t="n"/>
      <c r="F39" s="3" t="n"/>
    </row>
    <row r="40">
      <c r="A40" s="8" t="n"/>
      <c r="B40" s="8" t="n"/>
      <c r="C40" s="8" t="n"/>
      <c r="D40" s="8" t="n"/>
      <c r="E40" s="8" t="n"/>
      <c r="F40" s="8" t="n"/>
    </row>
    <row r="41">
      <c r="A41" s="3" t="n"/>
      <c r="B41" s="3" t="n"/>
      <c r="C41" s="3" t="n"/>
      <c r="D41" s="3" t="n"/>
      <c r="E41" s="3" t="n"/>
      <c r="F41" s="3" t="n"/>
    </row>
    <row r="42">
      <c r="A42" s="8" t="n"/>
      <c r="B42" s="8" t="n"/>
      <c r="C42" s="8" t="n"/>
      <c r="D42" s="8" t="n"/>
      <c r="E42" s="8" t="n"/>
      <c r="F42" s="8" t="n"/>
    </row>
    <row r="43">
      <c r="A43" s="3" t="n"/>
      <c r="B43" s="3" t="n"/>
      <c r="C43" s="3" t="n"/>
      <c r="D43" s="3" t="n"/>
      <c r="E43" s="3" t="n"/>
      <c r="F43" s="3" t="n"/>
    </row>
    <row r="44">
      <c r="A44" s="8" t="n"/>
      <c r="B44" s="8" t="n"/>
      <c r="C44" s="8" t="n"/>
      <c r="D44" s="8" t="n"/>
      <c r="E44" s="8" t="n"/>
      <c r="F44" s="8" t="n"/>
    </row>
    <row r="45">
      <c r="A45" s="3" t="n"/>
      <c r="B45" s="3" t="n"/>
      <c r="C45" s="3" t="n"/>
      <c r="D45" s="3" t="n"/>
      <c r="E45" s="3" t="n"/>
      <c r="F45" s="3" t="n"/>
    </row>
    <row r="46">
      <c r="A46" s="8" t="n"/>
      <c r="B46" s="8" t="n"/>
      <c r="C46" s="8" t="n"/>
      <c r="D46" s="8" t="n"/>
      <c r="E46" s="8" t="n"/>
      <c r="F46" s="8" t="n"/>
    </row>
    <row r="47">
      <c r="A47" s="3" t="n"/>
      <c r="B47" s="3" t="n"/>
      <c r="C47" s="3" t="n"/>
      <c r="D47" s="3" t="n"/>
      <c r="E47" s="3" t="n"/>
      <c r="F47" s="3" t="n"/>
    </row>
    <row r="48">
      <c r="A48" s="8" t="n"/>
      <c r="B48" s="8" t="n"/>
      <c r="C48" s="8" t="n"/>
      <c r="D48" s="8" t="n"/>
      <c r="E48" s="8" t="n"/>
      <c r="F48" s="8" t="n"/>
    </row>
    <row r="49">
      <c r="A49" s="3" t="n"/>
      <c r="B49" s="3" t="n"/>
      <c r="C49" s="3" t="n"/>
      <c r="D49" s="3" t="n"/>
      <c r="E49" s="3" t="n"/>
      <c r="F49" s="3" t="n"/>
    </row>
    <row r="50">
      <c r="A50" s="8" t="n"/>
      <c r="B50" s="8" t="n"/>
      <c r="C50" s="8" t="n"/>
      <c r="D50" s="8" t="n"/>
      <c r="E50" s="8" t="n"/>
      <c r="F50" s="8" t="n"/>
    </row>
    <row r="51">
      <c r="A51" s="3" t="n"/>
      <c r="B51" s="3" t="n"/>
      <c r="C51" s="3" t="n"/>
      <c r="D51" s="3" t="n"/>
      <c r="E51" s="3" t="n"/>
      <c r="F51" s="3" t="n"/>
    </row>
    <row r="52">
      <c r="A52" s="8" t="n"/>
      <c r="B52" s="8" t="n"/>
      <c r="C52" s="8" t="n"/>
      <c r="D52" s="8" t="n"/>
      <c r="E52" s="8" t="n"/>
      <c r="F52" s="8" t="n"/>
    </row>
    <row r="53">
      <c r="A53" s="3" t="n"/>
      <c r="B53" s="3" t="n"/>
      <c r="C53" s="3" t="n"/>
      <c r="D53" s="3" t="n"/>
      <c r="E53" s="3" t="n"/>
      <c r="F53" s="3" t="n"/>
    </row>
    <row r="54">
      <c r="A54" s="8" t="n"/>
      <c r="B54" s="8" t="n"/>
      <c r="C54" s="8" t="n"/>
      <c r="D54" s="8" t="n"/>
      <c r="E54" s="8" t="n"/>
      <c r="F54" s="8" t="n"/>
    </row>
    <row r="55">
      <c r="A55" s="3" t="n"/>
      <c r="B55" s="3" t="n"/>
      <c r="C55" s="3" t="n"/>
      <c r="D55" s="3" t="n"/>
      <c r="E55" s="3" t="n"/>
      <c r="F55" s="3" t="n"/>
    </row>
    <row r="56">
      <c r="A56" s="8" t="n"/>
      <c r="B56" s="8" t="n"/>
      <c r="C56" s="8" t="n"/>
      <c r="D56" s="8" t="n"/>
      <c r="E56" s="8" t="n"/>
      <c r="F56" s="8" t="n"/>
    </row>
    <row r="57">
      <c r="A57" s="3" t="n"/>
      <c r="B57" s="3" t="n"/>
      <c r="C57" s="3" t="n"/>
      <c r="D57" s="3" t="n"/>
      <c r="E57" s="3" t="n"/>
      <c r="F57" s="3" t="n"/>
    </row>
    <row r="58">
      <c r="A58" s="8" t="n"/>
      <c r="B58" s="8" t="n"/>
      <c r="C58" s="8" t="n"/>
      <c r="D58" s="8" t="n"/>
      <c r="E58" s="8" t="n"/>
      <c r="F58" s="8" t="n"/>
    </row>
    <row r="59">
      <c r="A59" s="3" t="n"/>
      <c r="B59" s="3" t="n"/>
      <c r="C59" s="3" t="n"/>
      <c r="D59" s="3" t="n"/>
      <c r="E59" s="3" t="n"/>
      <c r="F59" s="3" t="n"/>
    </row>
    <row r="60">
      <c r="A60" s="8" t="n"/>
      <c r="B60" s="8" t="n"/>
      <c r="C60" s="8" t="n"/>
      <c r="D60" s="8" t="n"/>
      <c r="E60" s="8" t="n"/>
      <c r="F60" s="8" t="n"/>
    </row>
    <row r="61">
      <c r="A61" s="3" t="n"/>
      <c r="B61" s="3" t="n"/>
      <c r="C61" s="3" t="n"/>
      <c r="D61" s="3" t="n"/>
      <c r="E61" s="3" t="n"/>
      <c r="F61" s="3" t="n"/>
    </row>
  </sheetData>
  <autoFilter ref="A2:F61"/>
  <mergeCells count="1">
    <mergeCell ref="A1:F1"/>
  </mergeCells>
  <dataValidations count="3">
    <dataValidation sqref="A3:A1000" showDropDown="0" showInputMessage="0" showErrorMessage="0" allowBlank="1" type="list">
      <formula1>=List_Study_ID</formula1>
    </dataValidation>
    <dataValidation sqref="E3:E1000" showDropDown="0" showInputMessage="0" showErrorMessage="0" allowBlank="1" type="list">
      <formula1>=List_Factor_Type</formula1>
    </dataValidation>
    <dataValidation sqref="C3:C1000" showDropDown="0" showInputMessage="0" showErrorMessage="0" allowBlank="1" type="list">
      <formula1>=List_Execution_Section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9" t="inlineStr">
        <is>
          <t>Fixed Controls</t>
        </is>
      </c>
    </row>
    <row r="2">
      <c r="A2" s="7" t="inlineStr">
        <is>
          <t>study_id</t>
        </is>
      </c>
      <c r="B2" s="7" t="inlineStr">
        <is>
          <t>parameter_path</t>
        </is>
      </c>
      <c r="C2" s="7" t="inlineStr">
        <is>
          <t>value</t>
        </is>
      </c>
    </row>
    <row r="3">
      <c r="A3" s="3" t="n"/>
      <c r="B3" s="3" t="n"/>
      <c r="C3" s="3" t="n"/>
    </row>
    <row r="4">
      <c r="A4" s="8" t="n"/>
      <c r="B4" s="8" t="n"/>
      <c r="C4" s="8" t="n"/>
    </row>
    <row r="5">
      <c r="A5" s="3" t="n"/>
      <c r="B5" s="3" t="n"/>
      <c r="C5" s="3" t="n"/>
    </row>
    <row r="6">
      <c r="A6" s="8" t="n"/>
      <c r="B6" s="8" t="n"/>
      <c r="C6" s="8" t="n"/>
    </row>
    <row r="7">
      <c r="A7" s="3" t="n"/>
      <c r="B7" s="3" t="n"/>
      <c r="C7" s="3" t="n"/>
    </row>
    <row r="8">
      <c r="A8" s="8" t="n"/>
      <c r="B8" s="8" t="n"/>
      <c r="C8" s="8" t="n"/>
    </row>
    <row r="9">
      <c r="A9" s="3" t="n"/>
      <c r="B9" s="3" t="n"/>
      <c r="C9" s="3" t="n"/>
    </row>
    <row r="10">
      <c r="A10" s="8" t="n"/>
      <c r="B10" s="8" t="n"/>
      <c r="C10" s="8" t="n"/>
    </row>
    <row r="11">
      <c r="A11" s="3" t="n"/>
      <c r="B11" s="3" t="n"/>
      <c r="C11" s="3" t="n"/>
    </row>
    <row r="12">
      <c r="A12" s="8" t="n"/>
      <c r="B12" s="8" t="n"/>
      <c r="C12" s="8" t="n"/>
    </row>
    <row r="13">
      <c r="A13" s="3" t="n"/>
      <c r="B13" s="3" t="n"/>
      <c r="C13" s="3" t="n"/>
    </row>
    <row r="14">
      <c r="A14" s="8" t="n"/>
      <c r="B14" s="8" t="n"/>
      <c r="C14" s="8" t="n"/>
    </row>
    <row r="15">
      <c r="A15" s="3" t="n"/>
      <c r="B15" s="3" t="n"/>
      <c r="C15" s="3" t="n"/>
    </row>
    <row r="16">
      <c r="A16" s="8" t="n"/>
      <c r="B16" s="8" t="n"/>
      <c r="C16" s="8" t="n"/>
    </row>
    <row r="17">
      <c r="A17" s="3" t="n"/>
      <c r="B17" s="3" t="n"/>
      <c r="C17" s="3" t="n"/>
    </row>
    <row r="18">
      <c r="A18" s="8" t="n"/>
      <c r="B18" s="8" t="n"/>
      <c r="C18" s="8" t="n"/>
    </row>
    <row r="19">
      <c r="A19" s="3" t="n"/>
      <c r="B19" s="3" t="n"/>
      <c r="C19" s="3" t="n"/>
    </row>
    <row r="20">
      <c r="A20" s="8" t="n"/>
      <c r="B20" s="8" t="n"/>
      <c r="C20" s="8" t="n"/>
    </row>
    <row r="21">
      <c r="A21" s="3" t="n"/>
      <c r="B21" s="3" t="n"/>
      <c r="C21" s="3" t="n"/>
    </row>
    <row r="22">
      <c r="A22" s="8" t="n"/>
      <c r="B22" s="8" t="n"/>
      <c r="C22" s="8" t="n"/>
    </row>
    <row r="23">
      <c r="A23" s="3" t="n"/>
      <c r="B23" s="3" t="n"/>
      <c r="C23" s="3" t="n"/>
    </row>
    <row r="24">
      <c r="A24" s="8" t="n"/>
      <c r="B24" s="8" t="n"/>
      <c r="C24" s="8" t="n"/>
    </row>
    <row r="25">
      <c r="A25" s="3" t="n"/>
      <c r="B25" s="3" t="n"/>
      <c r="C25" s="3" t="n"/>
    </row>
    <row r="26">
      <c r="A26" s="8" t="n"/>
      <c r="B26" s="8" t="n"/>
      <c r="C26" s="8" t="n"/>
    </row>
    <row r="27">
      <c r="A27" s="3" t="n"/>
      <c r="B27" s="3" t="n"/>
      <c r="C27" s="3" t="n"/>
    </row>
    <row r="28">
      <c r="A28" s="8" t="n"/>
      <c r="B28" s="8" t="n"/>
      <c r="C28" s="8" t="n"/>
    </row>
    <row r="29">
      <c r="A29" s="3" t="n"/>
      <c r="B29" s="3" t="n"/>
      <c r="C29" s="3" t="n"/>
    </row>
    <row r="30">
      <c r="A30" s="8" t="n"/>
      <c r="B30" s="8" t="n"/>
      <c r="C30" s="8" t="n"/>
    </row>
    <row r="31">
      <c r="A31" s="3" t="n"/>
      <c r="B31" s="3" t="n"/>
      <c r="C31" s="3" t="n"/>
    </row>
    <row r="32">
      <c r="A32" s="8" t="n"/>
      <c r="B32" s="8" t="n"/>
      <c r="C32" s="8" t="n"/>
    </row>
    <row r="33">
      <c r="A33" s="3" t="n"/>
      <c r="B33" s="3" t="n"/>
      <c r="C33" s="3" t="n"/>
    </row>
    <row r="34">
      <c r="A34" s="8" t="n"/>
      <c r="B34" s="8" t="n"/>
      <c r="C34" s="8" t="n"/>
    </row>
    <row r="35">
      <c r="A35" s="3" t="n"/>
      <c r="B35" s="3" t="n"/>
      <c r="C35" s="3" t="n"/>
    </row>
    <row r="36">
      <c r="A36" s="8" t="n"/>
      <c r="B36" s="8" t="n"/>
      <c r="C36" s="8" t="n"/>
    </row>
    <row r="37">
      <c r="A37" s="3" t="n"/>
      <c r="B37" s="3" t="n"/>
      <c r="C37" s="3" t="n"/>
    </row>
    <row r="38">
      <c r="A38" s="8" t="n"/>
      <c r="B38" s="8" t="n"/>
      <c r="C38" s="8" t="n"/>
    </row>
    <row r="39">
      <c r="A39" s="3" t="n"/>
      <c r="B39" s="3" t="n"/>
      <c r="C39" s="3" t="n"/>
    </row>
    <row r="40">
      <c r="A40" s="8" t="n"/>
      <c r="B40" s="8" t="n"/>
      <c r="C40" s="8" t="n"/>
    </row>
    <row r="41">
      <c r="A41" s="3" t="n"/>
      <c r="B41" s="3" t="n"/>
      <c r="C41" s="3" t="n"/>
    </row>
    <row r="42">
      <c r="A42" s="8" t="n"/>
      <c r="B42" s="8" t="n"/>
      <c r="C42" s="8" t="n"/>
    </row>
    <row r="43">
      <c r="A43" s="3" t="n"/>
      <c r="B43" s="3" t="n"/>
      <c r="C43" s="3" t="n"/>
    </row>
    <row r="44">
      <c r="A44" s="8" t="n"/>
      <c r="B44" s="8" t="n"/>
      <c r="C44" s="8" t="n"/>
    </row>
    <row r="45">
      <c r="A45" s="3" t="n"/>
      <c r="B45" s="3" t="n"/>
      <c r="C45" s="3" t="n"/>
    </row>
    <row r="46">
      <c r="A46" s="8" t="n"/>
      <c r="B46" s="8" t="n"/>
      <c r="C46" s="8" t="n"/>
    </row>
    <row r="47">
      <c r="A47" s="3" t="n"/>
      <c r="B47" s="3" t="n"/>
      <c r="C47" s="3" t="n"/>
    </row>
    <row r="48">
      <c r="A48" s="8" t="n"/>
      <c r="B48" s="8" t="n"/>
      <c r="C48" s="8" t="n"/>
    </row>
    <row r="49">
      <c r="A49" s="3" t="n"/>
      <c r="B49" s="3" t="n"/>
      <c r="C49" s="3" t="n"/>
    </row>
    <row r="50">
      <c r="A50" s="8" t="n"/>
      <c r="B50" s="8" t="n"/>
      <c r="C50" s="8" t="n"/>
    </row>
    <row r="51">
      <c r="A51" s="3" t="n"/>
      <c r="B51" s="3" t="n"/>
      <c r="C51" s="3" t="n"/>
    </row>
    <row r="52">
      <c r="A52" s="8" t="n"/>
      <c r="B52" s="8" t="n"/>
      <c r="C52" s="8" t="n"/>
    </row>
    <row r="53">
      <c r="A53" s="3" t="n"/>
      <c r="B53" s="3" t="n"/>
      <c r="C53" s="3" t="n"/>
    </row>
    <row r="54">
      <c r="A54" s="8" t="n"/>
      <c r="B54" s="8" t="n"/>
      <c r="C54" s="8" t="n"/>
    </row>
    <row r="55">
      <c r="A55" s="3" t="n"/>
      <c r="B55" s="3" t="n"/>
      <c r="C55" s="3" t="n"/>
    </row>
    <row r="56">
      <c r="A56" s="8" t="n"/>
      <c r="B56" s="8" t="n"/>
      <c r="C56" s="8" t="n"/>
    </row>
    <row r="57">
      <c r="A57" s="3" t="n"/>
      <c r="B57" s="3" t="n"/>
      <c r="C57" s="3" t="n"/>
    </row>
    <row r="58">
      <c r="A58" s="8" t="n"/>
      <c r="B58" s="8" t="n"/>
      <c r="C58" s="8" t="n"/>
    </row>
    <row r="59">
      <c r="A59" s="3" t="n"/>
      <c r="B59" s="3" t="n"/>
      <c r="C59" s="3" t="n"/>
    </row>
    <row r="60">
      <c r="A60" s="8" t="n"/>
      <c r="B60" s="8" t="n"/>
      <c r="C60" s="8" t="n"/>
    </row>
    <row r="61">
      <c r="A61" s="3" t="n"/>
      <c r="B61" s="3" t="n"/>
      <c r="C61" s="3" t="n"/>
    </row>
  </sheetData>
  <autoFilter ref="A2:C61"/>
  <mergeCells count="1">
    <mergeCell ref="A1:C1"/>
  </mergeCells>
  <dataValidations count="1">
    <dataValidation sqref="A3:A1000" showDropDown="0" showInputMessage="0" showErrorMessage="0" allowBlank="1" type="list">
      <formula1>=List_Study_ID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2" customWidth="1" min="4" max="4"/>
    <col width="18" customWidth="1" min="5" max="5"/>
    <col width="36" customWidth="1" min="6" max="6"/>
  </cols>
  <sheetData>
    <row r="1">
      <c r="A1" s="9" t="inlineStr">
        <is>
          <t>Invalid Combination Constraints</t>
        </is>
      </c>
    </row>
    <row r="2">
      <c r="A2" s="7" t="inlineStr">
        <is>
          <t>study_id</t>
        </is>
      </c>
      <c r="B2" s="7" t="inlineStr">
        <is>
          <t>if_factor</t>
        </is>
      </c>
      <c r="C2" s="7" t="inlineStr">
        <is>
          <t>if_level</t>
        </is>
      </c>
      <c r="D2" s="7" t="inlineStr">
        <is>
          <t>disallow_factor</t>
        </is>
      </c>
      <c r="E2" s="7" t="inlineStr">
        <is>
          <t>disallow_level</t>
        </is>
      </c>
      <c r="F2" s="7" t="inlineStr">
        <is>
          <t>reason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8" t="n"/>
      <c r="B4" s="8" t="n"/>
      <c r="C4" s="8" t="n"/>
      <c r="D4" s="8" t="n"/>
      <c r="E4" s="8" t="n"/>
      <c r="F4" s="8" t="n"/>
    </row>
    <row r="5">
      <c r="A5" s="3" t="n"/>
      <c r="B5" s="3" t="n"/>
      <c r="C5" s="3" t="n"/>
      <c r="D5" s="3" t="n"/>
      <c r="E5" s="3" t="n"/>
      <c r="F5" s="3" t="n"/>
    </row>
    <row r="6">
      <c r="A6" s="8" t="n"/>
      <c r="B6" s="8" t="n"/>
      <c r="C6" s="8" t="n"/>
      <c r="D6" s="8" t="n"/>
      <c r="E6" s="8" t="n"/>
      <c r="F6" s="8" t="n"/>
    </row>
    <row r="7">
      <c r="A7" s="3" t="n"/>
      <c r="B7" s="3" t="n"/>
      <c r="C7" s="3" t="n"/>
      <c r="D7" s="3" t="n"/>
      <c r="E7" s="3" t="n"/>
      <c r="F7" s="3" t="n"/>
    </row>
    <row r="8">
      <c r="A8" s="8" t="n"/>
      <c r="B8" s="8" t="n"/>
      <c r="C8" s="8" t="n"/>
      <c r="D8" s="8" t="n"/>
      <c r="E8" s="8" t="n"/>
      <c r="F8" s="8" t="n"/>
    </row>
    <row r="9">
      <c r="A9" s="3" t="n"/>
      <c r="B9" s="3" t="n"/>
      <c r="C9" s="3" t="n"/>
      <c r="D9" s="3" t="n"/>
      <c r="E9" s="3" t="n"/>
      <c r="F9" s="3" t="n"/>
    </row>
    <row r="10">
      <c r="A10" s="8" t="n"/>
      <c r="B10" s="8" t="n"/>
      <c r="C10" s="8" t="n"/>
      <c r="D10" s="8" t="n"/>
      <c r="E10" s="8" t="n"/>
      <c r="F10" s="8" t="n"/>
    </row>
    <row r="11">
      <c r="A11" s="3" t="n"/>
      <c r="B11" s="3" t="n"/>
      <c r="C11" s="3" t="n"/>
      <c r="D11" s="3" t="n"/>
      <c r="E11" s="3" t="n"/>
      <c r="F11" s="3" t="n"/>
    </row>
    <row r="12">
      <c r="A12" s="8" t="n"/>
      <c r="B12" s="8" t="n"/>
      <c r="C12" s="8" t="n"/>
      <c r="D12" s="8" t="n"/>
      <c r="E12" s="8" t="n"/>
      <c r="F12" s="8" t="n"/>
    </row>
    <row r="13">
      <c r="A13" s="3" t="n"/>
      <c r="B13" s="3" t="n"/>
      <c r="C13" s="3" t="n"/>
      <c r="D13" s="3" t="n"/>
      <c r="E13" s="3" t="n"/>
      <c r="F13" s="3" t="n"/>
    </row>
    <row r="14">
      <c r="A14" s="8" t="n"/>
      <c r="B14" s="8" t="n"/>
      <c r="C14" s="8" t="n"/>
      <c r="D14" s="8" t="n"/>
      <c r="E14" s="8" t="n"/>
      <c r="F14" s="8" t="n"/>
    </row>
    <row r="15">
      <c r="A15" s="3" t="n"/>
      <c r="B15" s="3" t="n"/>
      <c r="C15" s="3" t="n"/>
      <c r="D15" s="3" t="n"/>
      <c r="E15" s="3" t="n"/>
      <c r="F15" s="3" t="n"/>
    </row>
    <row r="16">
      <c r="A16" s="8" t="n"/>
      <c r="B16" s="8" t="n"/>
      <c r="C16" s="8" t="n"/>
      <c r="D16" s="8" t="n"/>
      <c r="E16" s="8" t="n"/>
      <c r="F16" s="8" t="n"/>
    </row>
    <row r="17">
      <c r="A17" s="3" t="n"/>
      <c r="B17" s="3" t="n"/>
      <c r="C17" s="3" t="n"/>
      <c r="D17" s="3" t="n"/>
      <c r="E17" s="3" t="n"/>
      <c r="F17" s="3" t="n"/>
    </row>
    <row r="18">
      <c r="A18" s="8" t="n"/>
      <c r="B18" s="8" t="n"/>
      <c r="C18" s="8" t="n"/>
      <c r="D18" s="8" t="n"/>
      <c r="E18" s="8" t="n"/>
      <c r="F18" s="8" t="n"/>
    </row>
    <row r="19">
      <c r="A19" s="3" t="n"/>
      <c r="B19" s="3" t="n"/>
      <c r="C19" s="3" t="n"/>
      <c r="D19" s="3" t="n"/>
      <c r="E19" s="3" t="n"/>
      <c r="F19" s="3" t="n"/>
    </row>
    <row r="20">
      <c r="A20" s="8" t="n"/>
      <c r="B20" s="8" t="n"/>
      <c r="C20" s="8" t="n"/>
      <c r="D20" s="8" t="n"/>
      <c r="E20" s="8" t="n"/>
      <c r="F20" s="8" t="n"/>
    </row>
    <row r="21">
      <c r="A21" s="3" t="n"/>
      <c r="B21" s="3" t="n"/>
      <c r="C21" s="3" t="n"/>
      <c r="D21" s="3" t="n"/>
      <c r="E21" s="3" t="n"/>
      <c r="F21" s="3" t="n"/>
    </row>
    <row r="22">
      <c r="A22" s="8" t="n"/>
      <c r="B22" s="8" t="n"/>
      <c r="C22" s="8" t="n"/>
      <c r="D22" s="8" t="n"/>
      <c r="E22" s="8" t="n"/>
      <c r="F22" s="8" t="n"/>
    </row>
    <row r="23">
      <c r="A23" s="3" t="n"/>
      <c r="B23" s="3" t="n"/>
      <c r="C23" s="3" t="n"/>
      <c r="D23" s="3" t="n"/>
      <c r="E23" s="3" t="n"/>
      <c r="F23" s="3" t="n"/>
    </row>
    <row r="24">
      <c r="A24" s="8" t="n"/>
      <c r="B24" s="8" t="n"/>
      <c r="C24" s="8" t="n"/>
      <c r="D24" s="8" t="n"/>
      <c r="E24" s="8" t="n"/>
      <c r="F24" s="8" t="n"/>
    </row>
    <row r="25">
      <c r="A25" s="3" t="n"/>
      <c r="B25" s="3" t="n"/>
      <c r="C25" s="3" t="n"/>
      <c r="D25" s="3" t="n"/>
      <c r="E25" s="3" t="n"/>
      <c r="F25" s="3" t="n"/>
    </row>
    <row r="26">
      <c r="A26" s="8" t="n"/>
      <c r="B26" s="8" t="n"/>
      <c r="C26" s="8" t="n"/>
      <c r="D26" s="8" t="n"/>
      <c r="E26" s="8" t="n"/>
      <c r="F26" s="8" t="n"/>
    </row>
    <row r="27">
      <c r="A27" s="3" t="n"/>
      <c r="B27" s="3" t="n"/>
      <c r="C27" s="3" t="n"/>
      <c r="D27" s="3" t="n"/>
      <c r="E27" s="3" t="n"/>
      <c r="F27" s="3" t="n"/>
    </row>
    <row r="28">
      <c r="A28" s="8" t="n"/>
      <c r="B28" s="8" t="n"/>
      <c r="C28" s="8" t="n"/>
      <c r="D28" s="8" t="n"/>
      <c r="E28" s="8" t="n"/>
      <c r="F28" s="8" t="n"/>
    </row>
    <row r="29">
      <c r="A29" s="3" t="n"/>
      <c r="B29" s="3" t="n"/>
      <c r="C29" s="3" t="n"/>
      <c r="D29" s="3" t="n"/>
      <c r="E29" s="3" t="n"/>
      <c r="F29" s="3" t="n"/>
    </row>
    <row r="30">
      <c r="A30" s="8" t="n"/>
      <c r="B30" s="8" t="n"/>
      <c r="C30" s="8" t="n"/>
      <c r="D30" s="8" t="n"/>
      <c r="E30" s="8" t="n"/>
      <c r="F30" s="8" t="n"/>
    </row>
    <row r="31">
      <c r="A31" s="3" t="n"/>
      <c r="B31" s="3" t="n"/>
      <c r="C31" s="3" t="n"/>
      <c r="D31" s="3" t="n"/>
      <c r="E31" s="3" t="n"/>
      <c r="F31" s="3" t="n"/>
    </row>
    <row r="32">
      <c r="A32" s="8" t="n"/>
      <c r="B32" s="8" t="n"/>
      <c r="C32" s="8" t="n"/>
      <c r="D32" s="8" t="n"/>
      <c r="E32" s="8" t="n"/>
      <c r="F32" s="8" t="n"/>
    </row>
    <row r="33">
      <c r="A33" s="3" t="n"/>
      <c r="B33" s="3" t="n"/>
      <c r="C33" s="3" t="n"/>
      <c r="D33" s="3" t="n"/>
      <c r="E33" s="3" t="n"/>
      <c r="F33" s="3" t="n"/>
    </row>
    <row r="34">
      <c r="A34" s="8" t="n"/>
      <c r="B34" s="8" t="n"/>
      <c r="C34" s="8" t="n"/>
      <c r="D34" s="8" t="n"/>
      <c r="E34" s="8" t="n"/>
      <c r="F34" s="8" t="n"/>
    </row>
    <row r="35">
      <c r="A35" s="3" t="n"/>
      <c r="B35" s="3" t="n"/>
      <c r="C35" s="3" t="n"/>
      <c r="D35" s="3" t="n"/>
      <c r="E35" s="3" t="n"/>
      <c r="F35" s="3" t="n"/>
    </row>
    <row r="36">
      <c r="A36" s="8" t="n"/>
      <c r="B36" s="8" t="n"/>
      <c r="C36" s="8" t="n"/>
      <c r="D36" s="8" t="n"/>
      <c r="E36" s="8" t="n"/>
      <c r="F36" s="8" t="n"/>
    </row>
    <row r="37">
      <c r="A37" s="3" t="n"/>
      <c r="B37" s="3" t="n"/>
      <c r="C37" s="3" t="n"/>
      <c r="D37" s="3" t="n"/>
      <c r="E37" s="3" t="n"/>
      <c r="F37" s="3" t="n"/>
    </row>
    <row r="38">
      <c r="A38" s="8" t="n"/>
      <c r="B38" s="8" t="n"/>
      <c r="C38" s="8" t="n"/>
      <c r="D38" s="8" t="n"/>
      <c r="E38" s="8" t="n"/>
      <c r="F38" s="8" t="n"/>
    </row>
    <row r="39">
      <c r="A39" s="3" t="n"/>
      <c r="B39" s="3" t="n"/>
      <c r="C39" s="3" t="n"/>
      <c r="D39" s="3" t="n"/>
      <c r="E39" s="3" t="n"/>
      <c r="F39" s="3" t="n"/>
    </row>
    <row r="40">
      <c r="A40" s="8" t="n"/>
      <c r="B40" s="8" t="n"/>
      <c r="C40" s="8" t="n"/>
      <c r="D40" s="8" t="n"/>
      <c r="E40" s="8" t="n"/>
      <c r="F40" s="8" t="n"/>
    </row>
    <row r="41">
      <c r="A41" s="3" t="n"/>
      <c r="B41" s="3" t="n"/>
      <c r="C41" s="3" t="n"/>
      <c r="D41" s="3" t="n"/>
      <c r="E41" s="3" t="n"/>
      <c r="F41" s="3" t="n"/>
    </row>
    <row r="42">
      <c r="A42" s="8" t="n"/>
      <c r="B42" s="8" t="n"/>
      <c r="C42" s="8" t="n"/>
      <c r="D42" s="8" t="n"/>
      <c r="E42" s="8" t="n"/>
      <c r="F42" s="8" t="n"/>
    </row>
    <row r="43">
      <c r="A43" s="3" t="n"/>
      <c r="B43" s="3" t="n"/>
      <c r="C43" s="3" t="n"/>
      <c r="D43" s="3" t="n"/>
      <c r="E43" s="3" t="n"/>
      <c r="F43" s="3" t="n"/>
    </row>
    <row r="44">
      <c r="A44" s="8" t="n"/>
      <c r="B44" s="8" t="n"/>
      <c r="C44" s="8" t="n"/>
      <c r="D44" s="8" t="n"/>
      <c r="E44" s="8" t="n"/>
      <c r="F44" s="8" t="n"/>
    </row>
    <row r="45">
      <c r="A45" s="3" t="n"/>
      <c r="B45" s="3" t="n"/>
      <c r="C45" s="3" t="n"/>
      <c r="D45" s="3" t="n"/>
      <c r="E45" s="3" t="n"/>
      <c r="F45" s="3" t="n"/>
    </row>
    <row r="46">
      <c r="A46" s="8" t="n"/>
      <c r="B46" s="8" t="n"/>
      <c r="C46" s="8" t="n"/>
      <c r="D46" s="8" t="n"/>
      <c r="E46" s="8" t="n"/>
      <c r="F46" s="8" t="n"/>
    </row>
    <row r="47">
      <c r="A47" s="3" t="n"/>
      <c r="B47" s="3" t="n"/>
      <c r="C47" s="3" t="n"/>
      <c r="D47" s="3" t="n"/>
      <c r="E47" s="3" t="n"/>
      <c r="F47" s="3" t="n"/>
    </row>
    <row r="48">
      <c r="A48" s="8" t="n"/>
      <c r="B48" s="8" t="n"/>
      <c r="C48" s="8" t="n"/>
      <c r="D48" s="8" t="n"/>
      <c r="E48" s="8" t="n"/>
      <c r="F48" s="8" t="n"/>
    </row>
    <row r="49">
      <c r="A49" s="3" t="n"/>
      <c r="B49" s="3" t="n"/>
      <c r="C49" s="3" t="n"/>
      <c r="D49" s="3" t="n"/>
      <c r="E49" s="3" t="n"/>
      <c r="F49" s="3" t="n"/>
    </row>
    <row r="50">
      <c r="A50" s="8" t="n"/>
      <c r="B50" s="8" t="n"/>
      <c r="C50" s="8" t="n"/>
      <c r="D50" s="8" t="n"/>
      <c r="E50" s="8" t="n"/>
      <c r="F50" s="8" t="n"/>
    </row>
    <row r="51">
      <c r="A51" s="3" t="n"/>
      <c r="B51" s="3" t="n"/>
      <c r="C51" s="3" t="n"/>
      <c r="D51" s="3" t="n"/>
      <c r="E51" s="3" t="n"/>
      <c r="F51" s="3" t="n"/>
    </row>
    <row r="52">
      <c r="A52" s="8" t="n"/>
      <c r="B52" s="8" t="n"/>
      <c r="C52" s="8" t="n"/>
      <c r="D52" s="8" t="n"/>
      <c r="E52" s="8" t="n"/>
      <c r="F52" s="8" t="n"/>
    </row>
    <row r="53">
      <c r="A53" s="3" t="n"/>
      <c r="B53" s="3" t="n"/>
      <c r="C53" s="3" t="n"/>
      <c r="D53" s="3" t="n"/>
      <c r="E53" s="3" t="n"/>
      <c r="F53" s="3" t="n"/>
    </row>
    <row r="54">
      <c r="A54" s="8" t="n"/>
      <c r="B54" s="8" t="n"/>
      <c r="C54" s="8" t="n"/>
      <c r="D54" s="8" t="n"/>
      <c r="E54" s="8" t="n"/>
      <c r="F54" s="8" t="n"/>
    </row>
    <row r="55">
      <c r="A55" s="3" t="n"/>
      <c r="B55" s="3" t="n"/>
      <c r="C55" s="3" t="n"/>
      <c r="D55" s="3" t="n"/>
      <c r="E55" s="3" t="n"/>
      <c r="F55" s="3" t="n"/>
    </row>
    <row r="56">
      <c r="A56" s="8" t="n"/>
      <c r="B56" s="8" t="n"/>
      <c r="C56" s="8" t="n"/>
      <c r="D56" s="8" t="n"/>
      <c r="E56" s="8" t="n"/>
      <c r="F56" s="8" t="n"/>
    </row>
    <row r="57">
      <c r="A57" s="3" t="n"/>
      <c r="B57" s="3" t="n"/>
      <c r="C57" s="3" t="n"/>
      <c r="D57" s="3" t="n"/>
      <c r="E57" s="3" t="n"/>
      <c r="F57" s="3" t="n"/>
    </row>
    <row r="58">
      <c r="A58" s="8" t="n"/>
      <c r="B58" s="8" t="n"/>
      <c r="C58" s="8" t="n"/>
      <c r="D58" s="8" t="n"/>
      <c r="E58" s="8" t="n"/>
      <c r="F58" s="8" t="n"/>
    </row>
    <row r="59">
      <c r="A59" s="3" t="n"/>
      <c r="B59" s="3" t="n"/>
      <c r="C59" s="3" t="n"/>
      <c r="D59" s="3" t="n"/>
      <c r="E59" s="3" t="n"/>
      <c r="F59" s="3" t="n"/>
    </row>
    <row r="60">
      <c r="A60" s="8" t="n"/>
      <c r="B60" s="8" t="n"/>
      <c r="C60" s="8" t="n"/>
      <c r="D60" s="8" t="n"/>
      <c r="E60" s="8" t="n"/>
      <c r="F60" s="8" t="n"/>
    </row>
    <row r="61">
      <c r="A61" s="3" t="n"/>
      <c r="B61" s="3" t="n"/>
      <c r="C61" s="3" t="n"/>
      <c r="D61" s="3" t="n"/>
      <c r="E61" s="3" t="n"/>
      <c r="F61" s="3" t="n"/>
    </row>
  </sheetData>
  <autoFilter ref="A2:F61"/>
  <mergeCells count="1">
    <mergeCell ref="A1:F1"/>
  </mergeCells>
  <dataValidations count="1">
    <dataValidation sqref="A3:A1000" showDropDown="0" showInputMessage="0" showErrorMessage="0" allowBlank="1" type="list">
      <formula1>=List_Study_ID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0" customWidth="1" min="4" max="4"/>
    <col width="12" customWidth="1" min="5" max="5"/>
  </cols>
  <sheetData>
    <row r="1">
      <c r="A1" s="9" t="inlineStr">
        <is>
          <t>Blocking and Replication</t>
        </is>
      </c>
    </row>
    <row r="2">
      <c r="A2" s="7" t="inlineStr">
        <is>
          <t>study_id</t>
        </is>
      </c>
      <c r="B2" s="7" t="inlineStr">
        <is>
          <t>block_type</t>
        </is>
      </c>
      <c r="C2" s="7" t="inlineStr">
        <is>
          <t>block_value</t>
        </is>
      </c>
      <c r="D2" s="7" t="inlineStr">
        <is>
          <t>repeat_id</t>
        </is>
      </c>
      <c r="E2" s="7" t="inlineStr">
        <is>
          <t>seed</t>
        </is>
      </c>
    </row>
    <row r="3">
      <c r="A3" s="3" t="n"/>
      <c r="B3" s="3" t="n"/>
      <c r="C3" s="3" t="n"/>
      <c r="D3" s="3" t="n"/>
      <c r="E3" s="3" t="n"/>
    </row>
    <row r="4">
      <c r="A4" s="8" t="n"/>
      <c r="B4" s="8" t="n"/>
      <c r="C4" s="8" t="n"/>
      <c r="D4" s="8" t="n"/>
      <c r="E4" s="8" t="n"/>
    </row>
    <row r="5">
      <c r="A5" s="3" t="n"/>
      <c r="B5" s="3" t="n"/>
      <c r="C5" s="3" t="n"/>
      <c r="D5" s="3" t="n"/>
      <c r="E5" s="3" t="n"/>
    </row>
    <row r="6">
      <c r="A6" s="8" t="n"/>
      <c r="B6" s="8" t="n"/>
      <c r="C6" s="8" t="n"/>
      <c r="D6" s="8" t="n"/>
      <c r="E6" s="8" t="n"/>
    </row>
    <row r="7">
      <c r="A7" s="3" t="n"/>
      <c r="B7" s="3" t="n"/>
      <c r="C7" s="3" t="n"/>
      <c r="D7" s="3" t="n"/>
      <c r="E7" s="3" t="n"/>
    </row>
    <row r="8">
      <c r="A8" s="8" t="n"/>
      <c r="B8" s="8" t="n"/>
      <c r="C8" s="8" t="n"/>
      <c r="D8" s="8" t="n"/>
      <c r="E8" s="8" t="n"/>
    </row>
    <row r="9">
      <c r="A9" s="3" t="n"/>
      <c r="B9" s="3" t="n"/>
      <c r="C9" s="3" t="n"/>
      <c r="D9" s="3" t="n"/>
      <c r="E9" s="3" t="n"/>
    </row>
    <row r="10">
      <c r="A10" s="8" t="n"/>
      <c r="B10" s="8" t="n"/>
      <c r="C10" s="8" t="n"/>
      <c r="D10" s="8" t="n"/>
      <c r="E10" s="8" t="n"/>
    </row>
    <row r="11">
      <c r="A11" s="3" t="n"/>
      <c r="B11" s="3" t="n"/>
      <c r="C11" s="3" t="n"/>
      <c r="D11" s="3" t="n"/>
      <c r="E11" s="3" t="n"/>
    </row>
    <row r="12">
      <c r="A12" s="8" t="n"/>
      <c r="B12" s="8" t="n"/>
      <c r="C12" s="8" t="n"/>
      <c r="D12" s="8" t="n"/>
      <c r="E12" s="8" t="n"/>
    </row>
    <row r="13">
      <c r="A13" s="3" t="n"/>
      <c r="B13" s="3" t="n"/>
      <c r="C13" s="3" t="n"/>
      <c r="D13" s="3" t="n"/>
      <c r="E13" s="3" t="n"/>
    </row>
    <row r="14">
      <c r="A14" s="8" t="n"/>
      <c r="B14" s="8" t="n"/>
      <c r="C14" s="8" t="n"/>
      <c r="D14" s="8" t="n"/>
      <c r="E14" s="8" t="n"/>
    </row>
    <row r="15">
      <c r="A15" s="3" t="n"/>
      <c r="B15" s="3" t="n"/>
      <c r="C15" s="3" t="n"/>
      <c r="D15" s="3" t="n"/>
      <c r="E15" s="3" t="n"/>
    </row>
    <row r="16">
      <c r="A16" s="8" t="n"/>
      <c r="B16" s="8" t="n"/>
      <c r="C16" s="8" t="n"/>
      <c r="D16" s="8" t="n"/>
      <c r="E16" s="8" t="n"/>
    </row>
    <row r="17">
      <c r="A17" s="3" t="n"/>
      <c r="B17" s="3" t="n"/>
      <c r="C17" s="3" t="n"/>
      <c r="D17" s="3" t="n"/>
      <c r="E17" s="3" t="n"/>
    </row>
    <row r="18">
      <c r="A18" s="8" t="n"/>
      <c r="B18" s="8" t="n"/>
      <c r="C18" s="8" t="n"/>
      <c r="D18" s="8" t="n"/>
      <c r="E18" s="8" t="n"/>
    </row>
    <row r="19">
      <c r="A19" s="3" t="n"/>
      <c r="B19" s="3" t="n"/>
      <c r="C19" s="3" t="n"/>
      <c r="D19" s="3" t="n"/>
      <c r="E19" s="3" t="n"/>
    </row>
    <row r="20">
      <c r="A20" s="8" t="n"/>
      <c r="B20" s="8" t="n"/>
      <c r="C20" s="8" t="n"/>
      <c r="D20" s="8" t="n"/>
      <c r="E20" s="8" t="n"/>
    </row>
    <row r="21">
      <c r="A21" s="3" t="n"/>
      <c r="B21" s="3" t="n"/>
      <c r="C21" s="3" t="n"/>
      <c r="D21" s="3" t="n"/>
      <c r="E21" s="3" t="n"/>
    </row>
    <row r="22">
      <c r="A22" s="8" t="n"/>
      <c r="B22" s="8" t="n"/>
      <c r="C22" s="8" t="n"/>
      <c r="D22" s="8" t="n"/>
      <c r="E22" s="8" t="n"/>
    </row>
    <row r="23">
      <c r="A23" s="3" t="n"/>
      <c r="B23" s="3" t="n"/>
      <c r="C23" s="3" t="n"/>
      <c r="D23" s="3" t="n"/>
      <c r="E23" s="3" t="n"/>
    </row>
    <row r="24">
      <c r="A24" s="8" t="n"/>
      <c r="B24" s="8" t="n"/>
      <c r="C24" s="8" t="n"/>
      <c r="D24" s="8" t="n"/>
      <c r="E24" s="8" t="n"/>
    </row>
    <row r="25">
      <c r="A25" s="3" t="n"/>
      <c r="B25" s="3" t="n"/>
      <c r="C25" s="3" t="n"/>
      <c r="D25" s="3" t="n"/>
      <c r="E25" s="3" t="n"/>
    </row>
    <row r="26">
      <c r="A26" s="8" t="n"/>
      <c r="B26" s="8" t="n"/>
      <c r="C26" s="8" t="n"/>
      <c r="D26" s="8" t="n"/>
      <c r="E26" s="8" t="n"/>
    </row>
    <row r="27">
      <c r="A27" s="3" t="n"/>
      <c r="B27" s="3" t="n"/>
      <c r="C27" s="3" t="n"/>
      <c r="D27" s="3" t="n"/>
      <c r="E27" s="3" t="n"/>
    </row>
    <row r="28">
      <c r="A28" s="8" t="n"/>
      <c r="B28" s="8" t="n"/>
      <c r="C28" s="8" t="n"/>
      <c r="D28" s="8" t="n"/>
      <c r="E28" s="8" t="n"/>
    </row>
    <row r="29">
      <c r="A29" s="3" t="n"/>
      <c r="B29" s="3" t="n"/>
      <c r="C29" s="3" t="n"/>
      <c r="D29" s="3" t="n"/>
      <c r="E29" s="3" t="n"/>
    </row>
    <row r="30">
      <c r="A30" s="8" t="n"/>
      <c r="B30" s="8" t="n"/>
      <c r="C30" s="8" t="n"/>
      <c r="D30" s="8" t="n"/>
      <c r="E30" s="8" t="n"/>
    </row>
    <row r="31">
      <c r="A31" s="3" t="n"/>
      <c r="B31" s="3" t="n"/>
      <c r="C31" s="3" t="n"/>
      <c r="D31" s="3" t="n"/>
      <c r="E31" s="3" t="n"/>
    </row>
    <row r="32">
      <c r="A32" s="8" t="n"/>
      <c r="B32" s="8" t="n"/>
      <c r="C32" s="8" t="n"/>
      <c r="D32" s="8" t="n"/>
      <c r="E32" s="8" t="n"/>
    </row>
    <row r="33">
      <c r="A33" s="3" t="n"/>
      <c r="B33" s="3" t="n"/>
      <c r="C33" s="3" t="n"/>
      <c r="D33" s="3" t="n"/>
      <c r="E33" s="3" t="n"/>
    </row>
    <row r="34">
      <c r="A34" s="8" t="n"/>
      <c r="B34" s="8" t="n"/>
      <c r="C34" s="8" t="n"/>
      <c r="D34" s="8" t="n"/>
      <c r="E34" s="8" t="n"/>
    </row>
    <row r="35">
      <c r="A35" s="3" t="n"/>
      <c r="B35" s="3" t="n"/>
      <c r="C35" s="3" t="n"/>
      <c r="D35" s="3" t="n"/>
      <c r="E35" s="3" t="n"/>
    </row>
    <row r="36">
      <c r="A36" s="8" t="n"/>
      <c r="B36" s="8" t="n"/>
      <c r="C36" s="8" t="n"/>
      <c r="D36" s="8" t="n"/>
      <c r="E36" s="8" t="n"/>
    </row>
    <row r="37">
      <c r="A37" s="3" t="n"/>
      <c r="B37" s="3" t="n"/>
      <c r="C37" s="3" t="n"/>
      <c r="D37" s="3" t="n"/>
      <c r="E37" s="3" t="n"/>
    </row>
    <row r="38">
      <c r="A38" s="8" t="n"/>
      <c r="B38" s="8" t="n"/>
      <c r="C38" s="8" t="n"/>
      <c r="D38" s="8" t="n"/>
      <c r="E38" s="8" t="n"/>
    </row>
    <row r="39">
      <c r="A39" s="3" t="n"/>
      <c r="B39" s="3" t="n"/>
      <c r="C39" s="3" t="n"/>
      <c r="D39" s="3" t="n"/>
      <c r="E39" s="3" t="n"/>
    </row>
    <row r="40">
      <c r="A40" s="8" t="n"/>
      <c r="B40" s="8" t="n"/>
      <c r="C40" s="8" t="n"/>
      <c r="D40" s="8" t="n"/>
      <c r="E40" s="8" t="n"/>
    </row>
    <row r="41">
      <c r="A41" s="3" t="n"/>
      <c r="B41" s="3" t="n"/>
      <c r="C41" s="3" t="n"/>
      <c r="D41" s="3" t="n"/>
      <c r="E41" s="3" t="n"/>
    </row>
    <row r="42">
      <c r="A42" s="8" t="n"/>
      <c r="B42" s="8" t="n"/>
      <c r="C42" s="8" t="n"/>
      <c r="D42" s="8" t="n"/>
      <c r="E42" s="8" t="n"/>
    </row>
    <row r="43">
      <c r="A43" s="3" t="n"/>
      <c r="B43" s="3" t="n"/>
      <c r="C43" s="3" t="n"/>
      <c r="D43" s="3" t="n"/>
      <c r="E43" s="3" t="n"/>
    </row>
    <row r="44">
      <c r="A44" s="8" t="n"/>
      <c r="B44" s="8" t="n"/>
      <c r="C44" s="8" t="n"/>
      <c r="D44" s="8" t="n"/>
      <c r="E44" s="8" t="n"/>
    </row>
    <row r="45">
      <c r="A45" s="3" t="n"/>
      <c r="B45" s="3" t="n"/>
      <c r="C45" s="3" t="n"/>
      <c r="D45" s="3" t="n"/>
      <c r="E45" s="3" t="n"/>
    </row>
    <row r="46">
      <c r="A46" s="8" t="n"/>
      <c r="B46" s="8" t="n"/>
      <c r="C46" s="8" t="n"/>
      <c r="D46" s="8" t="n"/>
      <c r="E46" s="8" t="n"/>
    </row>
    <row r="47">
      <c r="A47" s="3" t="n"/>
      <c r="B47" s="3" t="n"/>
      <c r="C47" s="3" t="n"/>
      <c r="D47" s="3" t="n"/>
      <c r="E47" s="3" t="n"/>
    </row>
    <row r="48">
      <c r="A48" s="8" t="n"/>
      <c r="B48" s="8" t="n"/>
      <c r="C48" s="8" t="n"/>
      <c r="D48" s="8" t="n"/>
      <c r="E48" s="8" t="n"/>
    </row>
    <row r="49">
      <c r="A49" s="3" t="n"/>
      <c r="B49" s="3" t="n"/>
      <c r="C49" s="3" t="n"/>
      <c r="D49" s="3" t="n"/>
      <c r="E49" s="3" t="n"/>
    </row>
    <row r="50">
      <c r="A50" s="8" t="n"/>
      <c r="B50" s="8" t="n"/>
      <c r="C50" s="8" t="n"/>
      <c r="D50" s="8" t="n"/>
      <c r="E50" s="8" t="n"/>
    </row>
    <row r="51">
      <c r="A51" s="3" t="n"/>
      <c r="B51" s="3" t="n"/>
      <c r="C51" s="3" t="n"/>
      <c r="D51" s="3" t="n"/>
      <c r="E51" s="3" t="n"/>
    </row>
    <row r="52">
      <c r="A52" s="8" t="n"/>
      <c r="B52" s="8" t="n"/>
      <c r="C52" s="8" t="n"/>
      <c r="D52" s="8" t="n"/>
      <c r="E52" s="8" t="n"/>
    </row>
    <row r="53">
      <c r="A53" s="3" t="n"/>
      <c r="B53" s="3" t="n"/>
      <c r="C53" s="3" t="n"/>
      <c r="D53" s="3" t="n"/>
      <c r="E53" s="3" t="n"/>
    </row>
    <row r="54">
      <c r="A54" s="8" t="n"/>
      <c r="B54" s="8" t="n"/>
      <c r="C54" s="8" t="n"/>
      <c r="D54" s="8" t="n"/>
      <c r="E54" s="8" t="n"/>
    </row>
    <row r="55">
      <c r="A55" s="3" t="n"/>
      <c r="B55" s="3" t="n"/>
      <c r="C55" s="3" t="n"/>
      <c r="D55" s="3" t="n"/>
      <c r="E55" s="3" t="n"/>
    </row>
    <row r="56">
      <c r="A56" s="8" t="n"/>
      <c r="B56" s="8" t="n"/>
      <c r="C56" s="8" t="n"/>
      <c r="D56" s="8" t="n"/>
      <c r="E56" s="8" t="n"/>
    </row>
    <row r="57">
      <c r="A57" s="3" t="n"/>
      <c r="B57" s="3" t="n"/>
      <c r="C57" s="3" t="n"/>
      <c r="D57" s="3" t="n"/>
      <c r="E57" s="3" t="n"/>
    </row>
    <row r="58">
      <c r="A58" s="8" t="n"/>
      <c r="B58" s="8" t="n"/>
      <c r="C58" s="8" t="n"/>
      <c r="D58" s="8" t="n"/>
      <c r="E58" s="8" t="n"/>
    </row>
    <row r="59">
      <c r="A59" s="3" t="n"/>
      <c r="B59" s="3" t="n"/>
      <c r="C59" s="3" t="n"/>
      <c r="D59" s="3" t="n"/>
      <c r="E59" s="3" t="n"/>
    </row>
    <row r="60">
      <c r="A60" s="8" t="n"/>
      <c r="B60" s="8" t="n"/>
      <c r="C60" s="8" t="n"/>
      <c r="D60" s="8" t="n"/>
      <c r="E60" s="8" t="n"/>
    </row>
    <row r="61">
      <c r="A61" s="3" t="n"/>
      <c r="B61" s="3" t="n"/>
      <c r="C61" s="3" t="n"/>
      <c r="D61" s="3" t="n"/>
      <c r="E61" s="3" t="n"/>
    </row>
  </sheetData>
  <autoFilter ref="A2:E61"/>
  <mergeCells count="1">
    <mergeCell ref="A1:E1"/>
  </mergeCells>
  <dataValidations count="2">
    <dataValidation sqref="B3:B1000" showDropDown="0" showInputMessage="0" showErrorMessage="0" allowBlank="1" type="list">
      <formula1>=List_Block_Type</formula1>
    </dataValidation>
    <dataValidation sqref="A3:A1000" showDropDown="0" showInputMessage="0" showErrorMessage="0" allowBlank="1" type="list">
      <formula1>=List_Study_ID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4" customWidth="1" min="4" max="4"/>
    <col width="18" customWidth="1" min="5" max="5"/>
    <col width="16" customWidth="1" min="6" max="6"/>
    <col width="24" customWidth="1" min="7" max="7"/>
    <col width="36" customWidth="1" min="8" max="8"/>
    <col width="14" customWidth="1" min="9" max="9"/>
  </cols>
  <sheetData>
    <row r="1">
      <c r="A1" s="9" t="inlineStr">
        <is>
          <t>Generated Design Matrix (Machine-managed)</t>
        </is>
      </c>
    </row>
    <row r="2">
      <c r="A2" s="7" t="inlineStr">
        <is>
          <t>study_id</t>
        </is>
      </c>
      <c r="B2" s="7" t="inlineStr">
        <is>
          <t>trial_id</t>
        </is>
      </c>
      <c r="C2" s="7" t="inlineStr">
        <is>
          <t>cell_id</t>
        </is>
      </c>
      <c r="D2" s="7" t="inlineStr">
        <is>
          <t>factor_settings_json</t>
        </is>
      </c>
      <c r="E2" s="7" t="inlineStr">
        <is>
          <t>start_section</t>
        </is>
      </c>
      <c r="F2" s="7" t="inlineStr">
        <is>
          <t>end_section</t>
        </is>
      </c>
      <c r="G2" s="7" t="inlineStr">
        <is>
          <t>base_artifact_id</t>
        </is>
      </c>
      <c r="H2" s="7" t="inlineStr">
        <is>
          <t>resolved_params_json</t>
        </is>
      </c>
      <c r="I2" s="7" t="inlineStr">
        <is>
          <t>status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</sheetData>
  <autoFilter ref="A2:I61"/>
  <mergeCells count="1">
    <mergeCell ref="A1:I1"/>
  </mergeCells>
  <dataValidations count="4">
    <dataValidation sqref="A3:A1000" showDropDown="0" showInputMessage="0" showErrorMessage="0" allowBlank="1" type="list">
      <formula1>=List_Study_ID</formula1>
    </dataValidation>
    <dataValidation sqref="E3:E1000" showDropDown="0" showInputMessage="0" showErrorMessage="0" allowBlank="1" type="list">
      <formula1>=List_Execution_Section</formula1>
    </dataValidation>
    <dataValidation sqref="F3:F1000" showDropDown="0" showInputMessage="0" showErrorMessage="0" allowBlank="1" type="list">
      <formula1>=List_Execution_Section</formula1>
    </dataValidation>
    <dataValidation sqref="I3:I1000" showDropDown="0" showInputMessage="0" showErrorMessage="0" allowBlank="1" type="list">
      <formula1>=List_Design_Cell_Status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24" customWidth="1" min="5" max="5"/>
    <col width="20" customWidth="1" min="6" max="6"/>
    <col width="20" customWidth="1" min="7" max="7"/>
    <col width="20" customWidth="1" min="8" max="8"/>
    <col width="18" customWidth="1" min="9" max="9"/>
    <col width="34" customWidth="1" min="10" max="10"/>
  </cols>
  <sheetData>
    <row r="1">
      <c r="A1" s="9" t="inlineStr">
        <is>
          <t>Effect Summaries (Descriptive)</t>
        </is>
      </c>
    </row>
    <row r="2">
      <c r="A2" s="7" t="inlineStr">
        <is>
          <t>study_id</t>
        </is>
      </c>
      <c r="B2" s="7" t="inlineStr">
        <is>
          <t>summary_type</t>
        </is>
      </c>
      <c r="C2" s="7" t="inlineStr">
        <is>
          <t>summary_key</t>
        </is>
      </c>
      <c r="D2" s="7" t="inlineStr">
        <is>
          <t>factor_level_key</t>
        </is>
      </c>
      <c r="E2" s="7" t="inlineStr">
        <is>
          <t>interaction_key</t>
        </is>
      </c>
      <c r="F2" s="7" t="inlineStr">
        <is>
          <t>primary_metric_name</t>
        </is>
      </c>
      <c r="G2" s="7" t="inlineStr">
        <is>
          <t>mean_primary_metric_value</t>
        </is>
      </c>
      <c r="H2" s="7" t="inlineStr">
        <is>
          <t>best_primary_metric_value</t>
        </is>
      </c>
      <c r="I2" s="7" t="inlineStr">
        <is>
          <t>best_trial_id</t>
        </is>
      </c>
      <c r="J2" s="7" t="inlineStr">
        <is>
          <t>notes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</sheetData>
  <autoFilter ref="A2:J61"/>
  <mergeCells count="1">
    <mergeCell ref="A1:J1"/>
  </mergeCells>
  <dataValidations count="1">
    <dataValidation sqref="A3:A1000" showDropDown="0" showInputMessage="0" showErrorMessage="0" allowBlank="1" type="list">
      <formula1>=List_Study_ID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14" customWidth="1" min="4" max="4"/>
    <col width="24" customWidth="1" min="5" max="5"/>
    <col width="40" customWidth="1" min="6" max="6"/>
    <col width="32" customWidth="1" min="7" max="7"/>
    <col width="24" customWidth="1" min="8" max="8"/>
    <col width="20" customWidth="1" min="9" max="9"/>
    <col width="34" customWidth="1" min="10" max="10"/>
  </cols>
  <sheetData>
    <row r="1">
      <c r="A1" s="9" t="inlineStr">
        <is>
          <t>Workbook Artifact Registry Snapshot</t>
        </is>
      </c>
    </row>
    <row r="2">
      <c r="A2" s="7" t="inlineStr">
        <is>
          <t>artifact_id</t>
        </is>
      </c>
      <c r="B2" s="7" t="inlineStr">
        <is>
          <t>artifact_type</t>
        </is>
      </c>
      <c r="C2" s="7" t="inlineStr">
        <is>
          <t>run_id</t>
        </is>
      </c>
      <c r="D2" s="7" t="inlineStr">
        <is>
          <t>status</t>
        </is>
      </c>
      <c r="E2" s="7" t="inlineStr">
        <is>
          <t>created_at</t>
        </is>
      </c>
      <c r="F2" s="7" t="inlineStr">
        <is>
          <t>path</t>
        </is>
      </c>
      <c r="G2" s="7" t="inlineStr">
        <is>
          <t>upstream_artifact_ids</t>
        </is>
      </c>
      <c r="H2" s="7" t="inlineStr">
        <is>
          <t>config_hash</t>
        </is>
      </c>
      <c r="I2" s="7" t="inlineStr">
        <is>
          <t>code_ref</t>
        </is>
      </c>
      <c r="J2" s="7" t="inlineStr">
        <is>
          <t>notes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>
        <is>
          <t>Optional workbook mirror of machine registry for audit snapshots.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</sheetData>
  <autoFilter ref="A2:J61"/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6" customWidth="1" min="5" max="5"/>
    <col width="16" customWidth="1" min="6" max="6"/>
    <col width="36" customWidth="1" min="7" max="7"/>
  </cols>
  <sheetData>
    <row r="1">
      <c r="A1" s="9" t="inlineStr">
        <is>
          <t>Fixed Configurations and Locks</t>
        </is>
      </c>
    </row>
    <row r="2">
      <c r="A2" s="7" t="inlineStr">
        <is>
          <t>config_key</t>
        </is>
      </c>
      <c r="B2" s="7" t="inlineStr">
        <is>
          <t>config_value</t>
        </is>
      </c>
      <c r="C2" s="7" t="inlineStr">
        <is>
          <t>scope</t>
        </is>
      </c>
      <c r="D2" s="7" t="inlineStr">
        <is>
          <t>locked</t>
        </is>
      </c>
      <c r="E2" s="7" t="inlineStr">
        <is>
          <t>owner</t>
        </is>
      </c>
      <c r="F2" s="7" t="inlineStr">
        <is>
          <t>last_updated</t>
        </is>
      </c>
      <c r="G2" s="7" t="inlineStr">
        <is>
          <t>notes</t>
        </is>
      </c>
    </row>
    <row r="3">
      <c r="A3" s="3" t="inlineStr">
        <is>
          <t>default_target</t>
        </is>
      </c>
      <c r="B3" s="3" t="inlineStr">
        <is>
          <t>coarse_affect</t>
        </is>
      </c>
      <c r="C3" s="3" t="inlineStr">
        <is>
          <t>global</t>
        </is>
      </c>
      <c r="D3" s="3" t="inlineStr">
        <is>
          <t>No</t>
        </is>
      </c>
      <c r="E3" s="3" t="inlineStr">
        <is>
          <t>Khaled</t>
        </is>
      </c>
      <c r="F3" s="3" t="inlineStr"/>
      <c r="G3" s="3" t="inlineStr">
        <is>
          <t>Machine-readable defaults for execution templates.</t>
        </is>
      </c>
    </row>
    <row r="4">
      <c r="A4" s="8" t="inlineStr">
        <is>
          <t>default_model</t>
        </is>
      </c>
      <c r="B4" s="8" t="inlineStr">
        <is>
          <t>ridge</t>
        </is>
      </c>
      <c r="C4" s="8" t="inlineStr">
        <is>
          <t>global</t>
        </is>
      </c>
      <c r="D4" s="8" t="inlineStr">
        <is>
          <t>No</t>
        </is>
      </c>
      <c r="E4" s="8" t="inlineStr">
        <is>
          <t>Khaled</t>
        </is>
      </c>
      <c r="F4" s="8" t="inlineStr"/>
      <c r="G4" s="8" t="inlineStr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8" t="n"/>
      <c r="B42" s="8" t="n"/>
      <c r="C42" s="8" t="n"/>
      <c r="D42" s="8" t="n"/>
      <c r="E42" s="8" t="n"/>
      <c r="F42" s="8" t="n"/>
      <c r="G42" s="8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8" t="n"/>
      <c r="B44" s="8" t="n"/>
      <c r="C44" s="8" t="n"/>
      <c r="D44" s="8" t="n"/>
      <c r="E44" s="8" t="n"/>
      <c r="F44" s="8" t="n"/>
      <c r="G44" s="8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8" t="n"/>
      <c r="B46" s="8" t="n"/>
      <c r="C46" s="8" t="n"/>
      <c r="D46" s="8" t="n"/>
      <c r="E46" s="8" t="n"/>
      <c r="F46" s="8" t="n"/>
      <c r="G46" s="8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8" t="n"/>
      <c r="B48" s="8" t="n"/>
      <c r="C48" s="8" t="n"/>
      <c r="D48" s="8" t="n"/>
      <c r="E48" s="8" t="n"/>
      <c r="F48" s="8" t="n"/>
      <c r="G48" s="8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8" t="n"/>
      <c r="B50" s="8" t="n"/>
      <c r="C50" s="8" t="n"/>
      <c r="D50" s="8" t="n"/>
      <c r="E50" s="8" t="n"/>
      <c r="F50" s="8" t="n"/>
      <c r="G50" s="8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8" t="n"/>
      <c r="B52" s="8" t="n"/>
      <c r="C52" s="8" t="n"/>
      <c r="D52" s="8" t="n"/>
      <c r="E52" s="8" t="n"/>
      <c r="F52" s="8" t="n"/>
      <c r="G52" s="8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8" t="n"/>
      <c r="B54" s="8" t="n"/>
      <c r="C54" s="8" t="n"/>
      <c r="D54" s="8" t="n"/>
      <c r="E54" s="8" t="n"/>
      <c r="F54" s="8" t="n"/>
      <c r="G54" s="8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8" t="n"/>
      <c r="B56" s="8" t="n"/>
      <c r="C56" s="8" t="n"/>
      <c r="D56" s="8" t="n"/>
      <c r="E56" s="8" t="n"/>
      <c r="F56" s="8" t="n"/>
      <c r="G56" s="8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8" t="n"/>
      <c r="B58" s="8" t="n"/>
      <c r="C58" s="8" t="n"/>
      <c r="D58" s="8" t="n"/>
      <c r="E58" s="8" t="n"/>
      <c r="F58" s="8" t="n"/>
      <c r="G58" s="8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8" t="n"/>
      <c r="B60" s="8" t="n"/>
      <c r="C60" s="8" t="n"/>
      <c r="D60" s="8" t="n"/>
      <c r="E60" s="8" t="n"/>
      <c r="F60" s="8" t="n"/>
      <c r="G60" s="8" t="n"/>
    </row>
    <row r="61">
      <c r="A61" s="3" t="n"/>
      <c r="B61" s="3" t="n"/>
      <c r="C61" s="3" t="n"/>
      <c r="D61" s="3" t="n"/>
      <c r="E61" s="3" t="n"/>
      <c r="F61" s="3" t="n"/>
      <c r="G61" s="3" t="n"/>
    </row>
  </sheetData>
  <autoFilter ref="A2:G61"/>
  <mergeCells count="1">
    <mergeCell ref="A1:G1"/>
  </mergeCells>
  <dataValidations count="1">
    <dataValidation sqref="D3:D1000" showDropDown="0" showInputMessage="0" showErrorMessage="0" allowBlank="1" type="list">
      <formula1>=List_YesNo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18" customWidth="1" min="4" max="4"/>
    <col width="20" customWidth="1" min="5" max="5"/>
    <col width="34" customWidth="1" min="6" max="6"/>
    <col width="14" customWidth="1" min="7" max="7"/>
    <col width="30" customWidth="1" min="8" max="8"/>
  </cols>
  <sheetData>
    <row r="1">
      <c r="A1" s="9" t="inlineStr">
        <is>
          <t>Program Objectives</t>
        </is>
      </c>
    </row>
    <row r="2">
      <c r="A2" s="7" t="inlineStr">
        <is>
          <t>objective_id</t>
        </is>
      </c>
      <c r="B2" s="7" t="inlineStr">
        <is>
          <t>objective_text</t>
        </is>
      </c>
      <c r="C2" s="7" t="inlineStr">
        <is>
          <t>stage</t>
        </is>
      </c>
      <c r="D2" s="7" t="inlineStr">
        <is>
          <t>linked_experiment_id</t>
        </is>
      </c>
      <c r="E2" s="7" t="inlineStr">
        <is>
          <t>primary_metric</t>
        </is>
      </c>
      <c r="F2" s="7" t="inlineStr">
        <is>
          <t>success_criterion</t>
        </is>
      </c>
      <c r="G2" s="7" t="inlineStr">
        <is>
          <t>status</t>
        </is>
      </c>
      <c r="H2" s="7" t="inlineStr">
        <is>
          <t>notes</t>
        </is>
      </c>
    </row>
    <row r="3">
      <c r="A3" s="3" t="inlineStr">
        <is>
          <t>OBJ01</t>
        </is>
      </c>
      <c r="B3" s="3" t="inlineStr">
        <is>
          <t>Lock target definition under leakage-aware evaluation.</t>
        </is>
      </c>
      <c r="C3" s="3" t="inlineStr">
        <is>
          <t>Stage 1 - Target lock</t>
        </is>
      </c>
      <c r="D3" s="3" t="inlineStr">
        <is>
          <t>E01</t>
        </is>
      </c>
      <c r="E3" s="3" t="inlineStr">
        <is>
          <t>balanced_accuracy</t>
        </is>
      </c>
      <c r="F3" s="3" t="inlineStr">
        <is>
          <t>Decision D01 locked with pre-registered rationale.</t>
        </is>
      </c>
      <c r="G3" s="3" t="inlineStr">
        <is>
          <t>Planned</t>
        </is>
      </c>
      <c r="H3" s="3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</sheetData>
  <autoFilter ref="A2:H61"/>
  <mergeCells count="1">
    <mergeCell ref="A1:H1"/>
  </mergeCells>
  <dataValidations count="3">
    <dataValidation sqref="C3:C1000" showDropDown="0" showInputMessage="0" showErrorMessage="0" allowBlank="1" type="list">
      <formula1>=List_Stage</formula1>
    </dataValidation>
    <dataValidation sqref="D3:D1000" showDropDown="0" showInputMessage="0" showErrorMessage="0" allowBlank="1" type="list">
      <formula1>=List_Experiment_ID</formula1>
    </dataValidation>
    <dataValidation sqref="G3:G1000" showDropDown="0" showInputMessage="0" showErrorMessage="0" allowBlank="1" type="list">
      <formula1>=List_Status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8" customWidth="1" min="4" max="4"/>
    <col width="20" customWidth="1" min="5" max="5"/>
    <col width="14" customWidth="1" min="6" max="6"/>
    <col width="16" customWidth="1" min="7" max="7"/>
    <col width="34" customWidth="1" min="8" max="8"/>
  </cols>
  <sheetData>
    <row r="1">
      <c r="A1" s="9" t="inlineStr">
        <is>
          <t>Machine Status and Environment</t>
        </is>
      </c>
    </row>
    <row r="2">
      <c r="A2" s="7" t="inlineStr">
        <is>
          <t>machine_id</t>
        </is>
      </c>
      <c r="B2" s="7" t="inlineStr">
        <is>
          <t>hostname</t>
        </is>
      </c>
      <c r="C2" s="7" t="inlineStr">
        <is>
          <t>environment_name</t>
        </is>
      </c>
      <c r="D2" s="7" t="inlineStr">
        <is>
          <t>python_version</t>
        </is>
      </c>
      <c r="E2" s="7" t="inlineStr">
        <is>
          <t>gpu</t>
        </is>
      </c>
      <c r="F2" s="7" t="inlineStr">
        <is>
          <t>status</t>
        </is>
      </c>
      <c r="G2" s="7" t="inlineStr">
        <is>
          <t>last_checked</t>
        </is>
      </c>
      <c r="H2" s="7" t="inlineStr">
        <is>
          <t>notes</t>
        </is>
      </c>
    </row>
    <row r="3">
      <c r="A3" s="3" t="inlineStr">
        <is>
          <t>M01</t>
        </is>
      </c>
      <c r="B3" s="3" t="inlineStr"/>
      <c r="C3" s="3" t="inlineStr">
        <is>
          <t>thesis-dev</t>
        </is>
      </c>
      <c r="D3" s="3" t="inlineStr"/>
      <c r="E3" s="3" t="inlineStr"/>
      <c r="F3" s="3" t="inlineStr">
        <is>
          <t>Monitoring</t>
        </is>
      </c>
      <c r="G3" s="3" t="inlineStr"/>
      <c r="H3" s="3" t="inlineStr">
        <is>
          <t>Track execution environment snapshots used for thesis runs.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</sheetData>
  <autoFilter ref="A2:H61"/>
  <mergeCells count="1">
    <mergeCell ref="A1:H1"/>
  </mergeCells>
  <dataValidations count="1">
    <dataValidation sqref="F3:F1000" showDropDown="0" showInputMessage="0" showErrorMessage="0" allowBlank="1" type="list">
      <formula1>=List_Ethics_Status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14" customWidth="1" min="4" max="4"/>
    <col width="22" customWidth="1" min="5" max="5"/>
    <col width="18" customWidth="1" min="6" max="6"/>
    <col width="34" customWidth="1" min="7" max="7"/>
    <col width="34" customWidth="1" min="8" max="8"/>
    <col width="28" customWidth="1" min="9" max="9"/>
    <col width="30" customWidth="1" min="10" max="10"/>
    <col width="12" customWidth="1" min="11" max="11"/>
    <col width="22" customWidth="1" min="12" max="12"/>
    <col width="34" customWidth="1" min="13" max="13"/>
    <col width="34" customWidth="1" min="14" max="14"/>
  </cols>
  <sheetData>
    <row r="1">
      <c r="A1" s="9" t="inlineStr">
        <is>
          <t>Trial Results (Machine-managed)</t>
        </is>
      </c>
    </row>
    <row r="2">
      <c r="A2" s="7" t="inlineStr">
        <is>
          <t>trial_id</t>
        </is>
      </c>
      <c r="B2" s="7" t="inlineStr">
        <is>
          <t>experiment_id</t>
        </is>
      </c>
      <c r="C2" s="7" t="inlineStr">
        <is>
          <t>run_id</t>
        </is>
      </c>
      <c r="D2" s="7" t="inlineStr">
        <is>
          <t>status</t>
        </is>
      </c>
      <c r="E2" s="7" t="inlineStr">
        <is>
          <t>primary_metric_name</t>
        </is>
      </c>
      <c r="F2" s="7" t="inlineStr">
        <is>
          <t>primary_metric_value</t>
        </is>
      </c>
      <c r="G2" s="7" t="inlineStr">
        <is>
          <t>report_path</t>
        </is>
      </c>
      <c r="H2" s="7" t="inlineStr">
        <is>
          <t>metrics_path</t>
        </is>
      </c>
      <c r="I2" s="7" t="inlineStr">
        <is>
          <t>artifact_bundle</t>
        </is>
      </c>
      <c r="J2" s="7" t="inlineStr">
        <is>
          <t>notes</t>
        </is>
      </c>
      <c r="K2" s="7" t="inlineStr">
        <is>
          <t>study_id</t>
        </is>
      </c>
      <c r="L2" s="7" t="inlineStr">
        <is>
          <t>cell_id</t>
        </is>
      </c>
      <c r="M2" s="7" t="inlineStr">
        <is>
          <t>factor_settings_json</t>
        </is>
      </c>
      <c r="N2" s="7" t="inlineStr">
        <is>
          <t>resolved_params_json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</sheetData>
  <autoFilter ref="A2:N61"/>
  <mergeCells count="1">
    <mergeCell ref="A1:N1"/>
  </mergeCells>
  <dataValidations count="2">
    <dataValidation sqref="B3:B1000" showDropDown="0" showInputMessage="0" showErrorMessage="0" allowBlank="1" type="list">
      <formula1>=List_Experiment_ID</formula1>
    </dataValidation>
    <dataValidation sqref="D3:D1000" showDropDown="0" showInputMessage="0" showErrorMessage="0" allowBlank="1" type="list">
      <formula1>=List_Status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8" customWidth="1" min="4" max="4"/>
    <col width="26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18" customWidth="1" min="11" max="11"/>
    <col width="20" customWidth="1" min="12" max="12"/>
    <col width="34" customWidth="1" min="13" max="13"/>
    <col width="36" customWidth="1" min="14" max="14"/>
  </cols>
  <sheetData>
    <row r="1">
      <c r="A1" s="9" t="inlineStr">
        <is>
          <t>Machine Summary Outputs (Best Runs and Patterns)</t>
        </is>
      </c>
    </row>
    <row r="2">
      <c r="A2" s="7" t="inlineStr">
        <is>
          <t>summary_type</t>
        </is>
      </c>
      <c r="B2" s="7" t="inlineStr">
        <is>
          <t>summary_key</t>
        </is>
      </c>
      <c r="C2" s="7" t="inlineStr">
        <is>
          <t>primary_metric_name</t>
        </is>
      </c>
      <c r="D2" s="7" t="inlineStr">
        <is>
          <t>primary_metric_value</t>
        </is>
      </c>
      <c r="E2" s="7" t="inlineStr">
        <is>
          <t>run_id</t>
        </is>
      </c>
      <c r="F2" s="7" t="inlineStr">
        <is>
          <t>experiment_id</t>
        </is>
      </c>
      <c r="G2" s="7" t="inlineStr">
        <is>
          <t>start_section</t>
        </is>
      </c>
      <c r="H2" s="7" t="inlineStr">
        <is>
          <t>end_section</t>
        </is>
      </c>
      <c r="I2" s="7" t="inlineStr">
        <is>
          <t>model</t>
        </is>
      </c>
      <c r="J2" s="7" t="inlineStr">
        <is>
          <t>cv</t>
        </is>
      </c>
      <c r="K2" s="7" t="inlineStr">
        <is>
          <t>target</t>
        </is>
      </c>
      <c r="L2" s="7" t="inlineStr">
        <is>
          <t>xai_method</t>
        </is>
      </c>
      <c r="M2" s="7" t="inlineStr">
        <is>
          <t>report_path</t>
        </is>
      </c>
      <c r="N2" s="7" t="inlineStr">
        <is>
          <t>notes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</sheetData>
  <autoFilter ref="A2:N61"/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34" customWidth="1" min="3" max="3"/>
    <col width="18" customWidth="1" min="4" max="4"/>
    <col width="16" customWidth="1" min="5" max="5"/>
    <col width="18" customWidth="1" min="6" max="6"/>
    <col width="20" customWidth="1" min="7" max="7"/>
    <col width="22" customWidth="1" min="8" max="8"/>
    <col width="16" customWidth="1" min="9" max="9"/>
    <col width="22" customWidth="1" min="10" max="10"/>
    <col width="34" customWidth="1" min="11" max="11"/>
    <col width="32" customWidth="1" min="12" max="12"/>
    <col width="20" customWidth="1" min="13" max="13"/>
    <col width="24" customWidth="1" min="14" max="14"/>
    <col width="14" customWidth="1" min="15" max="15"/>
    <col width="22" customWidth="1" min="16" max="16"/>
    <col width="22" customWidth="1" min="17" max="17"/>
    <col width="30" customWidth="1" min="18" max="18"/>
  </cols>
  <sheetData>
    <row r="1">
      <c r="A1" s="7" t="inlineStr">
        <is>
          <t>Data_Slice_ID</t>
        </is>
      </c>
      <c r="B1" s="7" t="inlineStr">
        <is>
          <t>Slice_Name</t>
        </is>
      </c>
      <c r="C1" s="7" t="inlineStr">
        <is>
          <t>Purpose</t>
        </is>
      </c>
      <c r="D1" s="7" t="inlineStr">
        <is>
          <t>Subject_Scope</t>
        </is>
      </c>
      <c r="E1" s="7" t="inlineStr">
        <is>
          <t>Session_Scope</t>
        </is>
      </c>
      <c r="F1" s="7" t="inlineStr">
        <is>
          <t>Time_Window</t>
        </is>
      </c>
      <c r="G1" s="7" t="inlineStr">
        <is>
          <t>Task_Scope</t>
        </is>
      </c>
      <c r="H1" s="7" t="inlineStr">
        <is>
          <t>Modality_Scope</t>
        </is>
      </c>
      <c r="I1" s="7" t="inlineStr">
        <is>
          <t>Target_Type</t>
        </is>
      </c>
      <c r="J1" s="7" t="inlineStr">
        <is>
          <t>Label_Set</t>
        </is>
      </c>
      <c r="K1" s="7" t="inlineStr">
        <is>
          <t>Inclusion_Rule</t>
        </is>
      </c>
      <c r="L1" s="7" t="inlineStr">
        <is>
          <t>Exclusion_Rule</t>
        </is>
      </c>
      <c r="M1" s="7" t="inlineStr">
        <is>
          <t>Class_Balance_Policy</t>
        </is>
      </c>
      <c r="N1" s="7" t="inlineStr">
        <is>
          <t>Minimum_Samples_Rule</t>
        </is>
      </c>
      <c r="O1" s="7" t="inlineStr">
        <is>
          <t>Leakage_Risk</t>
        </is>
      </c>
      <c r="P1" s="7" t="inlineStr">
        <is>
          <t>Valid_Use_Case</t>
        </is>
      </c>
      <c r="Q1" s="7" t="inlineStr">
        <is>
          <t>Thesis_Use</t>
        </is>
      </c>
      <c r="R1" s="7" t="inlineStr">
        <is>
          <t>Notes</t>
        </is>
      </c>
    </row>
    <row r="2">
      <c r="A2" s="8" t="inlineStr">
        <is>
          <t>DS01</t>
        </is>
      </c>
      <c r="B2" s="8" t="inlineStr">
        <is>
          <t>All subjects, all sessions, pooled task, pooled modality, coarse_affect</t>
        </is>
      </c>
      <c r="C2" s="8" t="inlineStr">
        <is>
          <t>Global baseline for target/split/model method-choice comparisons.</t>
        </is>
      </c>
      <c r="D2" s="8" t="inlineStr">
        <is>
          <t>all_subjects</t>
        </is>
      </c>
      <c r="E2" s="8" t="inlineStr">
        <is>
          <t>all_sessions</t>
        </is>
      </c>
      <c r="F2" s="8" t="inlineStr">
        <is>
          <t>full_study_window</t>
        </is>
      </c>
      <c r="G2" s="8" t="inlineStr">
        <is>
          <t>pooled_all_tasks</t>
        </is>
      </c>
      <c r="H2" s="8" t="inlineStr">
        <is>
          <t>pooled_all_modalities</t>
        </is>
      </c>
      <c r="I2" s="8" t="inlineStr">
        <is>
          <t>coarse_affect</t>
        </is>
      </c>
      <c r="J2" s="8" t="inlineStr">
        <is>
          <t>coarse_affect</t>
        </is>
      </c>
      <c r="K2" s="8" t="inlineStr">
        <is>
          <t>All QC-passed repeated-session beta maps with valid labels.</t>
        </is>
      </c>
      <c r="L2" s="8" t="inlineStr">
        <is>
          <t>Drop failed-preprocessing rows and missing targets.</t>
        </is>
      </c>
      <c r="M2" s="8" t="inlineStr">
        <is>
          <t>as_is</t>
        </is>
      </c>
      <c r="N2" s="8" t="inlineStr">
        <is>
          <t>Prefer &gt;=20 per class before claim-level interpretation.</t>
        </is>
      </c>
      <c r="O2" s="8" t="inlineStr">
        <is>
          <t>medium</t>
        </is>
      </c>
      <c r="P2" s="8" t="inlineStr">
        <is>
          <t>method_choice</t>
        </is>
      </c>
      <c r="Q2" s="8" t="inlineStr">
        <is>
          <t>method_choice</t>
        </is>
      </c>
      <c r="R2" s="8" t="inlineStr"/>
    </row>
    <row r="3">
      <c r="A3" s="3" t="inlineStr">
        <is>
          <t>DS02</t>
        </is>
      </c>
      <c r="B3" s="3" t="inlineStr">
        <is>
          <t>Subject-specific pooled-task pooled-modality</t>
        </is>
      </c>
      <c r="C3" s="3" t="inlineStr">
        <is>
          <t>Primary within-person held-out-session claim support.</t>
        </is>
      </c>
      <c r="D3" s="3" t="inlineStr">
        <is>
          <t>single_subject</t>
        </is>
      </c>
      <c r="E3" s="3" t="inlineStr">
        <is>
          <t>held_out_session</t>
        </is>
      </c>
      <c r="F3" s="3" t="inlineStr">
        <is>
          <t>full_study_window</t>
        </is>
      </c>
      <c r="G3" s="3" t="inlineStr">
        <is>
          <t>pooled_all_tasks</t>
        </is>
      </c>
      <c r="H3" s="3" t="inlineStr">
        <is>
          <t>pooled_all_modalities</t>
        </is>
      </c>
      <c r="I3" s="3" t="inlineStr">
        <is>
          <t>coarse_affect</t>
        </is>
      </c>
      <c r="J3" s="3" t="inlineStr">
        <is>
          <t>coarse_affect</t>
        </is>
      </c>
      <c r="K3" s="3" t="inlineStr">
        <is>
          <t>One subject at a time with all eligible sessions.</t>
        </is>
      </c>
      <c r="L3" s="3" t="inlineStr">
        <is>
          <t>No cross-subject pooling inside fold-level fit.</t>
        </is>
      </c>
      <c r="M3" s="3" t="inlineStr">
        <is>
          <t>weighted_only</t>
        </is>
      </c>
      <c r="N3" s="3" t="inlineStr">
        <is>
          <t>Per-class floor checked per subject.</t>
        </is>
      </c>
      <c r="O3" s="3" t="inlineStr">
        <is>
          <t>low</t>
        </is>
      </c>
      <c r="P3" s="3" t="inlineStr">
        <is>
          <t>confirmatory_within_person</t>
        </is>
      </c>
      <c r="Q3" s="3" t="inlineStr">
        <is>
          <t>main_confirmatory</t>
        </is>
      </c>
      <c r="R3" s="3" t="inlineStr">
        <is>
          <t>Matches held-out-session inference boundary.</t>
        </is>
      </c>
    </row>
    <row r="4">
      <c r="A4" s="8" t="inlineStr">
        <is>
          <t>DS03</t>
        </is>
      </c>
      <c r="B4" s="8" t="inlineStr">
        <is>
          <t>Task-specific pooled-modality</t>
        </is>
      </c>
      <c r="C4" s="8" t="inlineStr">
        <is>
          <t>Task pooling vs task-specific method-choice and diagnostics.</t>
        </is>
      </c>
      <c r="D4" s="8" t="inlineStr">
        <is>
          <t>all_subjects</t>
        </is>
      </c>
      <c r="E4" s="8" t="inlineStr">
        <is>
          <t>all_sessions</t>
        </is>
      </c>
      <c r="F4" s="8" t="inlineStr">
        <is>
          <t>full_study_window</t>
        </is>
      </c>
      <c r="G4" s="8" t="inlineStr">
        <is>
          <t>task_specific_other</t>
        </is>
      </c>
      <c r="H4" s="8" t="inlineStr">
        <is>
          <t>pooled_all_modalities</t>
        </is>
      </c>
      <c r="I4" s="8" t="inlineStr">
        <is>
          <t>coarse_affect</t>
        </is>
      </c>
      <c r="J4" s="8" t="inlineStr">
        <is>
          <t>coarse_affect by task</t>
        </is>
      </c>
      <c r="K4" s="8" t="inlineStr">
        <is>
          <t>Restrict each run to one task family.</t>
        </is>
      </c>
      <c r="L4" s="8" t="inlineStr">
        <is>
          <t>Exclude off-task records for that run.</t>
        </is>
      </c>
      <c r="M4" s="8" t="inlineStr">
        <is>
          <t>as_is</t>
        </is>
      </c>
      <c r="N4" s="8" t="inlineStr">
        <is>
          <t>Minimum counts checked per task-specific slice.</t>
        </is>
      </c>
      <c r="O4" s="8" t="inlineStr">
        <is>
          <t>medium</t>
        </is>
      </c>
      <c r="P4" s="8" t="inlineStr">
        <is>
          <t>method_choice</t>
        </is>
      </c>
      <c r="Q4" s="8" t="inlineStr">
        <is>
          <t>method_choice</t>
        </is>
      </c>
      <c r="R4" s="8" t="inlineStr"/>
    </row>
    <row r="5">
      <c r="A5" s="3" t="inlineStr">
        <is>
          <t>DS04</t>
        </is>
      </c>
      <c r="B5" s="3" t="inlineStr">
        <is>
          <t>Modality-specific pooled-task</t>
        </is>
      </c>
      <c r="C5" s="3" t="inlineStr">
        <is>
          <t>Modality pooling vs modality-specific method-choice checks.</t>
        </is>
      </c>
      <c r="D5" s="3" t="inlineStr">
        <is>
          <t>all_subjects</t>
        </is>
      </c>
      <c r="E5" s="3" t="inlineStr">
        <is>
          <t>all_sessions</t>
        </is>
      </c>
      <c r="F5" s="3" t="inlineStr">
        <is>
          <t>full_study_window</t>
        </is>
      </c>
      <c r="G5" s="3" t="inlineStr">
        <is>
          <t>pooled_all_tasks</t>
        </is>
      </c>
      <c r="H5" s="3" t="inlineStr">
        <is>
          <t>audio_only</t>
        </is>
      </c>
      <c r="I5" s="3" t="inlineStr">
        <is>
          <t>coarse_affect</t>
        </is>
      </c>
      <c r="J5" s="3" t="inlineStr">
        <is>
          <t>coarse_affect</t>
        </is>
      </c>
      <c r="K5" s="3" t="inlineStr">
        <is>
          <t>One modality family per run (audio/video/audiovisual variants).</t>
        </is>
      </c>
      <c r="L5" s="3" t="inlineStr">
        <is>
          <t>Exclude other modalities in each modality-specific run.</t>
        </is>
      </c>
      <c r="M5" s="3" t="inlineStr">
        <is>
          <t>as_is</t>
        </is>
      </c>
      <c r="N5" s="3" t="inlineStr">
        <is>
          <t>Check sample sufficiency per modality variant.</t>
        </is>
      </c>
      <c r="O5" s="3" t="inlineStr">
        <is>
          <t>medium</t>
        </is>
      </c>
      <c r="P5" s="3" t="inlineStr">
        <is>
          <t>method_choice</t>
        </is>
      </c>
      <c r="Q5" s="3" t="inlineStr">
        <is>
          <t>method_choice</t>
        </is>
      </c>
      <c r="R5" s="3" t="inlineStr">
        <is>
          <t>Seed modality is audio_only; clone row for other modalities.</t>
        </is>
      </c>
    </row>
    <row r="6">
      <c r="A6" s="8" t="inlineStr">
        <is>
          <t>DS05</t>
        </is>
      </c>
      <c r="B6" s="8" t="inlineStr">
        <is>
          <t>Subject-specific task x modality subset</t>
        </is>
      </c>
      <c r="C6" s="8" t="inlineStr">
        <is>
          <t>Fine-grained diagnostic sensitivity slices.</t>
        </is>
      </c>
      <c r="D6" s="8" t="inlineStr">
        <is>
          <t>single_subject</t>
        </is>
      </c>
      <c r="E6" s="8" t="inlineStr">
        <is>
          <t>all_sessions</t>
        </is>
      </c>
      <c r="F6" s="8" t="inlineStr">
        <is>
          <t>full_study_window</t>
        </is>
      </c>
      <c r="G6" s="8" t="inlineStr">
        <is>
          <t>task_specific_other</t>
        </is>
      </c>
      <c r="H6" s="8" t="inlineStr">
        <is>
          <t>audiovisual_only</t>
        </is>
      </c>
      <c r="I6" s="8" t="inlineStr">
        <is>
          <t>coarse_affect</t>
        </is>
      </c>
      <c r="J6" s="8" t="inlineStr">
        <is>
          <t>coarse_affect</t>
        </is>
      </c>
      <c r="K6" s="8" t="inlineStr">
        <is>
          <t>Single subject + selected task + selected modality combination.</t>
        </is>
      </c>
      <c r="L6" s="8" t="inlineStr">
        <is>
          <t>Exclude all records outside the chosen intersection.</t>
        </is>
      </c>
      <c r="M6" s="8" t="inlineStr">
        <is>
          <t>min_count_threshold</t>
        </is>
      </c>
      <c r="N6" s="8" t="inlineStr">
        <is>
          <t>Hard floor required before reporting.</t>
        </is>
      </c>
      <c r="O6" s="8" t="inlineStr">
        <is>
          <t>high</t>
        </is>
      </c>
      <c r="P6" s="8" t="inlineStr">
        <is>
          <t>diagnostic_only</t>
        </is>
      </c>
      <c r="Q6" s="8" t="inlineStr">
        <is>
          <t>discussion_limitations</t>
        </is>
      </c>
      <c r="R6" s="8" t="inlineStr"/>
    </row>
    <row r="7">
      <c r="A7" s="3" t="inlineStr">
        <is>
          <t>DS06</t>
        </is>
      </c>
      <c r="B7" s="3" t="inlineStr">
        <is>
          <t>Early sessions only</t>
        </is>
      </c>
      <c r="C7" s="3" t="inlineStr">
        <is>
          <t>Temporal drift checks and early-to-late transfer design.</t>
        </is>
      </c>
      <c r="D7" s="3" t="inlineStr">
        <is>
          <t>all_subjects</t>
        </is>
      </c>
      <c r="E7" s="3" t="inlineStr">
        <is>
          <t>early_only</t>
        </is>
      </c>
      <c r="F7" s="3" t="inlineStr">
        <is>
          <t>early_window</t>
        </is>
      </c>
      <c r="G7" s="3" t="inlineStr">
        <is>
          <t>pooled_all_tasks</t>
        </is>
      </c>
      <c r="H7" s="3" t="inlineStr">
        <is>
          <t>pooled_all_modalities</t>
        </is>
      </c>
      <c r="I7" s="3" t="inlineStr">
        <is>
          <t>coarse_affect</t>
        </is>
      </c>
      <c r="J7" s="3" t="inlineStr">
        <is>
          <t>coarse_affect</t>
        </is>
      </c>
      <c r="K7" s="3" t="inlineStr">
        <is>
          <t>Use sessions pre-registered as early window.</t>
        </is>
      </c>
      <c r="L7" s="3" t="inlineStr">
        <is>
          <t>Exclude late-window sessions.</t>
        </is>
      </c>
      <c r="M7" s="3" t="inlineStr">
        <is>
          <t>as_is</t>
        </is>
      </c>
      <c r="N7" s="3" t="inlineStr">
        <is>
          <t>Check class floor by temporal window.</t>
        </is>
      </c>
      <c r="O7" s="3" t="inlineStr">
        <is>
          <t>medium</t>
        </is>
      </c>
      <c r="P7" s="3" t="inlineStr">
        <is>
          <t>robustness_support</t>
        </is>
      </c>
      <c r="Q7" s="3" t="inlineStr">
        <is>
          <t>supporting_robustness</t>
        </is>
      </c>
      <c r="R7" s="3" t="inlineStr"/>
    </row>
    <row r="8">
      <c r="A8" s="8" t="inlineStr">
        <is>
          <t>DS07</t>
        </is>
      </c>
      <c r="B8" s="8" t="inlineStr">
        <is>
          <t>Late sessions only</t>
        </is>
      </c>
      <c r="C8" s="8" t="inlineStr">
        <is>
          <t>Temporal drift checks and early-to-late transfer design.</t>
        </is>
      </c>
      <c r="D8" s="8" t="inlineStr">
        <is>
          <t>all_subjects</t>
        </is>
      </c>
      <c r="E8" s="8" t="inlineStr">
        <is>
          <t>late_only</t>
        </is>
      </c>
      <c r="F8" s="8" t="inlineStr">
        <is>
          <t>late_window</t>
        </is>
      </c>
      <c r="G8" s="8" t="inlineStr">
        <is>
          <t>pooled_all_tasks</t>
        </is>
      </c>
      <c r="H8" s="8" t="inlineStr">
        <is>
          <t>pooled_all_modalities</t>
        </is>
      </c>
      <c r="I8" s="8" t="inlineStr">
        <is>
          <t>coarse_affect</t>
        </is>
      </c>
      <c r="J8" s="8" t="inlineStr">
        <is>
          <t>coarse_affect</t>
        </is>
      </c>
      <c r="K8" s="8" t="inlineStr">
        <is>
          <t>Use sessions pre-registered as late window.</t>
        </is>
      </c>
      <c r="L8" s="8" t="inlineStr">
        <is>
          <t>Exclude early-window sessions.</t>
        </is>
      </c>
      <c r="M8" s="8" t="inlineStr">
        <is>
          <t>as_is</t>
        </is>
      </c>
      <c r="N8" s="8" t="inlineStr">
        <is>
          <t>Check class floor by temporal window.</t>
        </is>
      </c>
      <c r="O8" s="8" t="inlineStr">
        <is>
          <t>medium</t>
        </is>
      </c>
      <c r="P8" s="8" t="inlineStr">
        <is>
          <t>robustness_support</t>
        </is>
      </c>
      <c r="Q8" s="8" t="inlineStr">
        <is>
          <t>supporting_robustness</t>
        </is>
      </c>
      <c r="R8" s="8" t="inlineStr"/>
    </row>
    <row r="9">
      <c r="A9" s="3" t="inlineStr">
        <is>
          <t>DS08</t>
        </is>
      </c>
      <c r="B9" s="3" t="inlineStr">
        <is>
          <t>Balanced subset only</t>
        </is>
      </c>
      <c r="C9" s="3" t="inlineStr">
        <is>
          <t>Imbalance-aware sensitivity diagnostics.</t>
        </is>
      </c>
      <c r="D9" s="3" t="inlineStr">
        <is>
          <t>all_subjects</t>
        </is>
      </c>
      <c r="E9" s="3" t="inlineStr">
        <is>
          <t>all_sessions</t>
        </is>
      </c>
      <c r="F9" s="3" t="inlineStr">
        <is>
          <t>full_study_window</t>
        </is>
      </c>
      <c r="G9" s="3" t="inlineStr">
        <is>
          <t>pooled_all_tasks</t>
        </is>
      </c>
      <c r="H9" s="3" t="inlineStr">
        <is>
          <t>pooled_all_modalities</t>
        </is>
      </c>
      <c r="I9" s="3" t="inlineStr">
        <is>
          <t>coarse_affect</t>
        </is>
      </c>
      <c r="J9" s="3" t="inlineStr">
        <is>
          <t>coarse_affect</t>
        </is>
      </c>
      <c r="K9" s="3" t="inlineStr">
        <is>
          <t>Only include rows passing balancing policy.</t>
        </is>
      </c>
      <c r="L9" s="3" t="inlineStr">
        <is>
          <t>Exclude classes below predefined minimum count floor.</t>
        </is>
      </c>
      <c r="M9" s="3" t="inlineStr">
        <is>
          <t>balanced_subset</t>
        </is>
      </c>
      <c r="N9" s="3" t="inlineStr">
        <is>
          <t>Set explicit class floor in analysis config.</t>
        </is>
      </c>
      <c r="O9" s="3" t="inlineStr">
        <is>
          <t>low</t>
        </is>
      </c>
      <c r="P9" s="3" t="inlineStr">
        <is>
          <t>robustness_support</t>
        </is>
      </c>
      <c r="Q9" s="3" t="inlineStr">
        <is>
          <t>supporting_robustness</t>
        </is>
      </c>
      <c r="R9" s="3" t="inlineStr">
        <is>
          <t>Do not replace confirmatory as-is evidence with this slice.</t>
        </is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</sheetData>
  <autoFilter ref="A1:R41"/>
  <dataValidations count="9">
    <dataValidation sqref="D2:D1000" showDropDown="0" showInputMessage="0" showErrorMessage="0" allowBlank="1" type="list">
      <formula1>=List_Subject_Scope</formula1>
    </dataValidation>
    <dataValidation sqref="E2:E1000" showDropDown="0" showInputMessage="0" showErrorMessage="0" allowBlank="1" type="list">
      <formula1>=List_Session_Scope</formula1>
    </dataValidation>
    <dataValidation sqref="G2:G1000" showDropDown="0" showInputMessage="0" showErrorMessage="0" allowBlank="1" type="list">
      <formula1>=List_Task_Scope</formula1>
    </dataValidation>
    <dataValidation sqref="H2:H1000" showDropDown="0" showInputMessage="0" showErrorMessage="0" allowBlank="1" type="list">
      <formula1>=List_Modality_Scope</formula1>
    </dataValidation>
    <dataValidation sqref="I2:I1000" showDropDown="0" showInputMessage="0" showErrorMessage="0" allowBlank="1" type="list">
      <formula1>=List_Target_Type</formula1>
    </dataValidation>
    <dataValidation sqref="M2:M1000" showDropDown="0" showInputMessage="0" showErrorMessage="0" allowBlank="1" type="list">
      <formula1>=List_Class_Balance_Policy</formula1>
    </dataValidation>
    <dataValidation sqref="O2:O1000" showDropDown="0" showInputMessage="0" showErrorMessage="0" allowBlank="1" type="list">
      <formula1>=List_Leakage_Risk_Level</formula1>
    </dataValidation>
    <dataValidation sqref="P2:P1000" showDropDown="0" showInputMessage="0" showErrorMessage="0" allowBlank="1" type="list">
      <formula1>=List_Use_Case</formula1>
    </dataValidation>
    <dataValidation sqref="Q2:Q1000" showDropDown="0" showInputMessage="0" showErrorMessage="0" allowBlank="1" type="list">
      <formula1>=List_Thesis_Use_Tag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8" customWidth="1" min="4" max="4"/>
    <col width="18" customWidth="1" min="5" max="5"/>
    <col width="18" customWidth="1" min="6" max="6"/>
    <col width="30" customWidth="1" min="7" max="7"/>
    <col width="30" customWidth="1" min="8" max="8"/>
    <col width="32" customWidth="1" min="9" max="9"/>
    <col width="20" customWidth="1" min="10" max="10"/>
    <col width="22" customWidth="1" min="11" max="11"/>
    <col width="36" customWidth="1" min="12" max="12"/>
    <col width="20" customWidth="1" min="13" max="13"/>
    <col width="24" customWidth="1" min="14" max="14"/>
    <col width="26" customWidth="1" min="15" max="15"/>
  </cols>
  <sheetData>
    <row r="1">
      <c r="A1" s="7" t="inlineStr">
        <is>
          <t>Grouping_Strategy_ID</t>
        </is>
      </c>
      <c r="B1" s="7" t="inlineStr">
        <is>
          <t>Strategy_Name</t>
        </is>
      </c>
      <c r="C1" s="7" t="inlineStr">
        <is>
          <t>Split_Family</t>
        </is>
      </c>
      <c r="D1" s="7" t="inlineStr">
        <is>
          <t>Train_Group_Unit</t>
        </is>
      </c>
      <c r="E1" s="7" t="inlineStr">
        <is>
          <t>Test_Group_Unit</t>
        </is>
      </c>
      <c r="F1" s="7" t="inlineStr">
        <is>
          <t>Grouping_Level</t>
        </is>
      </c>
      <c r="G1" s="7" t="inlineStr">
        <is>
          <t>Train_Rule</t>
        </is>
      </c>
      <c r="H1" s="7" t="inlineStr">
        <is>
          <t>Test_Rule</t>
        </is>
      </c>
      <c r="I1" s="7" t="inlineStr">
        <is>
          <t>Leakage_Safeguard</t>
        </is>
      </c>
      <c r="J1" s="7" t="inlineStr">
        <is>
          <t>Suitable_For</t>
        </is>
      </c>
      <c r="K1" s="7" t="inlineStr">
        <is>
          <t>Not_Suitable_For</t>
        </is>
      </c>
      <c r="L1" s="7" t="inlineStr">
        <is>
          <t>Interpretation_Boundary</t>
        </is>
      </c>
      <c r="M1" s="7" t="inlineStr">
        <is>
          <t>Typical_Experiments</t>
        </is>
      </c>
      <c r="N1" s="7" t="inlineStr">
        <is>
          <t>Thesis_Section</t>
        </is>
      </c>
      <c r="O1" s="7" t="inlineStr">
        <is>
          <t>Notes</t>
        </is>
      </c>
    </row>
    <row r="2">
      <c r="A2" s="8" t="inlineStr">
        <is>
          <t>GS01</t>
        </is>
      </c>
      <c r="B2" s="8" t="inlineStr">
        <is>
          <t>within-subject LOSO-session</t>
        </is>
      </c>
      <c r="C2" s="8" t="inlineStr">
        <is>
          <t>within_subject</t>
        </is>
      </c>
      <c r="D2" s="8" t="inlineStr">
        <is>
          <t>subject_session</t>
        </is>
      </c>
      <c r="E2" s="8" t="inlineStr">
        <is>
          <t>session</t>
        </is>
      </c>
      <c r="F2" s="8" t="inlineStr">
        <is>
          <t>within_subject</t>
        </is>
      </c>
      <c r="G2" s="8" t="inlineStr">
        <is>
          <t>Per subject: train on all but one session.</t>
        </is>
      </c>
      <c r="H2" s="8" t="inlineStr">
        <is>
          <t>Per subject: test on held-out session.</t>
        </is>
      </c>
      <c r="I2" s="8" t="inlineStr">
        <is>
          <t>No held-out session rows in any train-side fit/tune stage.</t>
        </is>
      </c>
      <c r="J2" s="8" t="inlineStr">
        <is>
          <t>confirmatory_within_person</t>
        </is>
      </c>
      <c r="K2" s="8" t="inlineStr">
        <is>
          <t>confirmatory_cross_person_transfer</t>
        </is>
      </c>
      <c r="L2" s="8" t="inlineStr">
        <is>
          <t>Supports within-person held-out-session claim only.</t>
        </is>
      </c>
      <c r="M2" s="8" t="inlineStr">
        <is>
          <t>E04,E16</t>
        </is>
      </c>
      <c r="N2" s="8" t="inlineStr">
        <is>
          <t>Chapter 4 Main results</t>
        </is>
      </c>
      <c r="O2" s="8" t="inlineStr"/>
    </row>
    <row r="3">
      <c r="A3" s="3" t="inlineStr">
        <is>
          <t>GS02</t>
        </is>
      </c>
      <c r="B3" s="3" t="inlineStr">
        <is>
          <t>pooled-task within-subject LOSO-session</t>
        </is>
      </c>
      <c r="C3" s="3" t="inlineStr">
        <is>
          <t>within_subject</t>
        </is>
      </c>
      <c r="D3" s="3" t="inlineStr">
        <is>
          <t>subject_session</t>
        </is>
      </c>
      <c r="E3" s="3" t="inlineStr">
        <is>
          <t>session</t>
        </is>
      </c>
      <c r="F3" s="3" t="inlineStr">
        <is>
          <t>within_subject</t>
        </is>
      </c>
      <c r="G3" s="3" t="inlineStr">
        <is>
          <t>Within each subject, pool tasks and hold out one session.</t>
        </is>
      </c>
      <c r="H3" s="3" t="inlineStr">
        <is>
          <t>Evaluate on held-out session with pooled task scope.</t>
        </is>
      </c>
      <c r="I3" s="3" t="inlineStr">
        <is>
          <t>No test-session information in pooled train transforms.</t>
        </is>
      </c>
      <c r="J3" s="3" t="inlineStr">
        <is>
          <t>confirmatory_within_person</t>
        </is>
      </c>
      <c r="K3" s="3" t="inlineStr">
        <is>
          <t>confirmatory_cross_person_transfer</t>
        </is>
      </c>
      <c r="L3" s="3" t="inlineStr">
        <is>
          <t>Within-person conclusion under pooled task policy.</t>
        </is>
      </c>
      <c r="M3" s="3" t="inlineStr">
        <is>
          <t>E02,E16</t>
        </is>
      </c>
      <c r="N3" s="3" t="inlineStr">
        <is>
          <t>Chapter 3 Method choice</t>
        </is>
      </c>
      <c r="O3" s="3" t="inlineStr"/>
    </row>
    <row r="4">
      <c r="A4" s="8" t="inlineStr">
        <is>
          <t>GS03</t>
        </is>
      </c>
      <c r="B4" s="8" t="inlineStr">
        <is>
          <t>task-specific within-subject LOSO-session</t>
        </is>
      </c>
      <c r="C4" s="8" t="inlineStr">
        <is>
          <t>within_subject</t>
        </is>
      </c>
      <c r="D4" s="8" t="inlineStr">
        <is>
          <t>subject_session</t>
        </is>
      </c>
      <c r="E4" s="8" t="inlineStr">
        <is>
          <t>session</t>
        </is>
      </c>
      <c r="F4" s="8" t="inlineStr">
        <is>
          <t>task_level</t>
        </is>
      </c>
      <c r="G4" s="8" t="inlineStr">
        <is>
          <t>Within each subject/task, hold out one session.</t>
        </is>
      </c>
      <c r="H4" s="8" t="inlineStr">
        <is>
          <t>Test on same-task held-out session.</t>
        </is>
      </c>
      <c r="I4" s="8" t="inlineStr">
        <is>
          <t>Task-specific split manifests and train-only preprocessing.</t>
        </is>
      </c>
      <c r="J4" s="8" t="inlineStr">
        <is>
          <t>method_choice</t>
        </is>
      </c>
      <c r="K4" s="8" t="inlineStr">
        <is>
          <t>confirmatory_cross_person_transfer</t>
        </is>
      </c>
      <c r="L4" s="8" t="inlineStr">
        <is>
          <t>Task-conditioned within-person evidence only.</t>
        </is>
      </c>
      <c r="M4" s="8" t="inlineStr">
        <is>
          <t>E02,E15</t>
        </is>
      </c>
      <c r="N4" s="8" t="inlineStr">
        <is>
          <t>Chapter 3 Method choice</t>
        </is>
      </c>
      <c r="O4" s="8" t="inlineStr"/>
    </row>
    <row r="5">
      <c r="A5" s="3" t="inlineStr">
        <is>
          <t>GS04</t>
        </is>
      </c>
      <c r="B5" s="3" t="inlineStr">
        <is>
          <t>modality-specific within-subject LOSO-session</t>
        </is>
      </c>
      <c r="C5" s="3" t="inlineStr">
        <is>
          <t>within_subject</t>
        </is>
      </c>
      <c r="D5" s="3" t="inlineStr">
        <is>
          <t>subject_session</t>
        </is>
      </c>
      <c r="E5" s="3" t="inlineStr">
        <is>
          <t>session</t>
        </is>
      </c>
      <c r="F5" s="3" t="inlineStr">
        <is>
          <t>modality_level</t>
        </is>
      </c>
      <c r="G5" s="3" t="inlineStr">
        <is>
          <t>Within each subject/modality, hold out one session.</t>
        </is>
      </c>
      <c r="H5" s="3" t="inlineStr">
        <is>
          <t>Test on same-modality held-out session.</t>
        </is>
      </c>
      <c r="I5" s="3" t="inlineStr">
        <is>
          <t>Modality-specific fold manifests with strict train-only fit.</t>
        </is>
      </c>
      <c r="J5" s="3" t="inlineStr">
        <is>
          <t>method_choice</t>
        </is>
      </c>
      <c r="K5" s="3" t="inlineStr">
        <is>
          <t>confirmatory_cross_person_transfer</t>
        </is>
      </c>
      <c r="L5" s="3" t="inlineStr">
        <is>
          <t>Modality-conditioned within-person evidence only.</t>
        </is>
      </c>
      <c r="M5" s="3" t="inlineStr">
        <is>
          <t>E03,E15</t>
        </is>
      </c>
      <c r="N5" s="3" t="inlineStr">
        <is>
          <t>Chapter 3 Method choice</t>
        </is>
      </c>
      <c r="O5" s="3" t="inlineStr"/>
    </row>
    <row r="6">
      <c r="A6" s="8" t="inlineStr">
        <is>
          <t>GS05</t>
        </is>
      </c>
      <c r="B6" s="8" t="inlineStr">
        <is>
          <t>early-train late-test</t>
        </is>
      </c>
      <c r="C6" s="8" t="inlineStr">
        <is>
          <t>temporal</t>
        </is>
      </c>
      <c r="D6" s="8" t="inlineStr">
        <is>
          <t>session</t>
        </is>
      </c>
      <c r="E6" s="8" t="inlineStr">
        <is>
          <t>session</t>
        </is>
      </c>
      <c r="F6" s="8" t="inlineStr">
        <is>
          <t>session_level</t>
        </is>
      </c>
      <c r="G6" s="8" t="inlineStr">
        <is>
          <t>Train on pre-defined early sessions.</t>
        </is>
      </c>
      <c r="H6" s="8" t="inlineStr">
        <is>
          <t>Test on disjoint late sessions.</t>
        </is>
      </c>
      <c r="I6" s="8" t="inlineStr">
        <is>
          <t>Fixed temporal boundary and no late-session tuning.</t>
        </is>
      </c>
      <c r="J6" s="8" t="inlineStr">
        <is>
          <t>robustness_support</t>
        </is>
      </c>
      <c r="K6" s="8" t="inlineStr">
        <is>
          <t>confirmatory_within_person</t>
        </is>
      </c>
      <c r="L6" s="8" t="inlineStr">
        <is>
          <t>Temporal transfer sensitivity, not the primary confirmatory claim.</t>
        </is>
      </c>
      <c r="M6" s="8" t="inlineStr">
        <is>
          <t>E04,E15</t>
        </is>
      </c>
      <c r="N6" s="8" t="inlineStr">
        <is>
          <t>Chapter 4 Supporting robustness</t>
        </is>
      </c>
      <c r="O6" s="8" t="inlineStr"/>
    </row>
    <row r="7">
      <c r="A7" s="3" t="inlineStr">
        <is>
          <t>GS06</t>
        </is>
      </c>
      <c r="B7" s="3" t="inlineStr">
        <is>
          <t>frozen cross-person transfer A-&gt;B</t>
        </is>
      </c>
      <c r="C7" s="3" t="inlineStr">
        <is>
          <t>cross_person</t>
        </is>
      </c>
      <c r="D7" s="3" t="inlineStr">
        <is>
          <t>subject</t>
        </is>
      </c>
      <c r="E7" s="3" t="inlineStr">
        <is>
          <t>subject</t>
        </is>
      </c>
      <c r="F7" s="3" t="inlineStr">
        <is>
          <t>across_subject</t>
        </is>
      </c>
      <c r="G7" s="3" t="inlineStr">
        <is>
          <t>Fit on subject A only (frozen pipeline).</t>
        </is>
      </c>
      <c r="H7" s="3" t="inlineStr">
        <is>
          <t>Evaluate on subject B without refit/re-tune.</t>
        </is>
      </c>
      <c r="I7" s="3" t="inlineStr">
        <is>
          <t>No test-subject fitting; strict direction lock.</t>
        </is>
      </c>
      <c r="J7" s="3" t="inlineStr">
        <is>
          <t>confirmatory_cross_person_transfer</t>
        </is>
      </c>
      <c r="K7" s="3" t="inlineStr">
        <is>
          <t>confirmatory_within_person</t>
        </is>
      </c>
      <c r="L7" s="3" t="inlineStr">
        <is>
          <t>Directional transfer under domain shift only.</t>
        </is>
      </c>
      <c r="M7" s="3" t="inlineStr">
        <is>
          <t>E05,E17</t>
        </is>
      </c>
      <c r="N7" s="3" t="inlineStr">
        <is>
          <t>Chapter 4 Main results</t>
        </is>
      </c>
      <c r="O7" s="3" t="inlineStr"/>
    </row>
    <row r="8">
      <c r="A8" s="8" t="inlineStr">
        <is>
          <t>GS07</t>
        </is>
      </c>
      <c r="B8" s="8" t="inlineStr">
        <is>
          <t>frozen cross-person transfer B-&gt;A</t>
        </is>
      </c>
      <c r="C8" s="8" t="inlineStr">
        <is>
          <t>cross_person</t>
        </is>
      </c>
      <c r="D8" s="8" t="inlineStr">
        <is>
          <t>subject</t>
        </is>
      </c>
      <c r="E8" s="8" t="inlineStr">
        <is>
          <t>subject</t>
        </is>
      </c>
      <c r="F8" s="8" t="inlineStr">
        <is>
          <t>across_subject</t>
        </is>
      </c>
      <c r="G8" s="8" t="inlineStr">
        <is>
          <t>Fit on subject B only (frozen pipeline).</t>
        </is>
      </c>
      <c r="H8" s="8" t="inlineStr">
        <is>
          <t>Evaluate on subject A without refit/re-tune.</t>
        </is>
      </c>
      <c r="I8" s="8" t="inlineStr">
        <is>
          <t>No test-subject fitting; strict direction lock.</t>
        </is>
      </c>
      <c r="J8" s="8" t="inlineStr">
        <is>
          <t>confirmatory_cross_person_transfer</t>
        </is>
      </c>
      <c r="K8" s="8" t="inlineStr">
        <is>
          <t>confirmatory_within_person</t>
        </is>
      </c>
      <c r="L8" s="8" t="inlineStr">
        <is>
          <t>Directional transfer under domain shift only.</t>
        </is>
      </c>
      <c r="M8" s="8" t="inlineStr">
        <is>
          <t>E05,E17</t>
        </is>
      </c>
      <c r="N8" s="8" t="inlineStr">
        <is>
          <t>Chapter 4 Main results</t>
        </is>
      </c>
      <c r="O8" s="8" t="inlineStr"/>
    </row>
    <row r="9">
      <c r="A9" s="3" t="inlineStr">
        <is>
          <t>GS08</t>
        </is>
      </c>
      <c r="B9" s="3" t="inlineStr">
        <is>
          <t>weak split inflation demo</t>
        </is>
      </c>
      <c r="C9" s="3" t="inlineStr">
        <is>
          <t>weak_split_demo</t>
        </is>
      </c>
      <c r="D9" s="3" t="inlineStr">
        <is>
          <t>custom_group</t>
        </is>
      </c>
      <c r="E9" s="3" t="inlineStr">
        <is>
          <t>custom_group</t>
        </is>
      </c>
      <c r="F9" s="3" t="inlineStr">
        <is>
          <t>mixed_level</t>
        </is>
      </c>
      <c r="G9" s="3" t="inlineStr">
        <is>
          <t>Use intentionally weaker split variant for contrast.</t>
        </is>
      </c>
      <c r="H9" s="3" t="inlineStr">
        <is>
          <t>Evaluate inflation magnitude vs strict split.</t>
        </is>
      </c>
      <c r="I9" s="3" t="inlineStr">
        <is>
          <t>Tag as weak split and exclude from confirmatory claims.</t>
        </is>
      </c>
      <c r="J9" s="3" t="inlineStr">
        <is>
          <t>weak_split_demo_only</t>
        </is>
      </c>
      <c r="K9" s="3" t="inlineStr">
        <is>
          <t>confirmatory_within_person</t>
        </is>
      </c>
      <c r="L9" s="3" t="inlineStr">
        <is>
          <t>Inflation demonstration only; non-confirmatory.</t>
        </is>
      </c>
      <c r="M9" s="3" t="inlineStr">
        <is>
          <t>E04</t>
        </is>
      </c>
      <c r="N9" s="3" t="inlineStr">
        <is>
          <t>Chapter 3 Method choice</t>
        </is>
      </c>
      <c r="O9" s="3" t="inlineStr">
        <is>
          <t>Permitted only as cautionary demonstration.</t>
        </is>
      </c>
    </row>
    <row r="10">
      <c r="A10" s="8" t="inlineStr">
        <is>
          <t>GS09</t>
        </is>
      </c>
      <c r="B10" s="8" t="inlineStr">
        <is>
          <t>task x modality diagnostic split</t>
        </is>
      </c>
      <c r="C10" s="8" t="inlineStr">
        <is>
          <t>diagnostic</t>
        </is>
      </c>
      <c r="D10" s="8" t="inlineStr">
        <is>
          <t>task_modality</t>
        </is>
      </c>
      <c r="E10" s="8" t="inlineStr">
        <is>
          <t>task_modality</t>
        </is>
      </c>
      <c r="F10" s="8" t="inlineStr">
        <is>
          <t>task_modality_level</t>
        </is>
      </c>
      <c r="G10" s="8" t="inlineStr">
        <is>
          <t>Train within selected task/modality intersections.</t>
        </is>
      </c>
      <c r="H10" s="8" t="inlineStr">
        <is>
          <t>Test on matched or held-out intersections per protocol.</t>
        </is>
      </c>
      <c r="I10" s="8" t="inlineStr">
        <is>
          <t>Pre-registered intersection mapping and no adaptive relabeling.</t>
        </is>
      </c>
      <c r="J10" s="8" t="inlineStr">
        <is>
          <t>diagnostic_only</t>
        </is>
      </c>
      <c r="K10" s="8" t="inlineStr">
        <is>
          <t>confirmatory_within_person</t>
        </is>
      </c>
      <c r="L10" s="8" t="inlineStr">
        <is>
          <t>Diagnostic sensitivity only; not core evidence.</t>
        </is>
      </c>
      <c r="M10" s="8" t="inlineStr">
        <is>
          <t>E15</t>
        </is>
      </c>
      <c r="N10" s="8" t="inlineStr">
        <is>
          <t>Chapter 5 Discussion</t>
        </is>
      </c>
      <c r="O10" s="8" t="inlineStr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</sheetData>
  <autoFilter ref="A1:O41"/>
  <dataValidations count="7">
    <dataValidation sqref="C2:C1000" showDropDown="0" showInputMessage="0" showErrorMessage="0" allowBlank="1" type="list">
      <formula1>=List_Split_Family</formula1>
    </dataValidation>
    <dataValidation sqref="D2:D1000" showDropDown="0" showInputMessage="0" showErrorMessage="0" allowBlank="1" type="list">
      <formula1>=List_Group_Unit</formula1>
    </dataValidation>
    <dataValidation sqref="E2:E1000" showDropDown="0" showInputMessage="0" showErrorMessage="0" allowBlank="1" type="list">
      <formula1>=List_Group_Unit</formula1>
    </dataValidation>
    <dataValidation sqref="F2:F1000" showDropDown="0" showInputMessage="0" showErrorMessage="0" allowBlank="1" type="list">
      <formula1>=List_Grouping_Level</formula1>
    </dataValidation>
    <dataValidation sqref="J2:J1000" showDropDown="0" showInputMessage="0" showErrorMessage="0" allowBlank="1" type="list">
      <formula1>=List_Use_Case</formula1>
    </dataValidation>
    <dataValidation sqref="K2:K1000" showDropDown="0" showInputMessage="0" showErrorMessage="0" allowBlank="1" type="list">
      <formula1>=List_Use_Case</formula1>
    </dataValidation>
    <dataValidation sqref="N2:N1000" showDropDown="0" showInputMessage="0" showErrorMessage="0" allowBlank="1" type="list">
      <formula1>=List_Reporting_Destination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20" customWidth="1" min="4" max="4"/>
    <col width="38" customWidth="1" min="5" max="5"/>
    <col width="4" customWidth="1" min="6" max="6"/>
    <col width="24" customWidth="1" min="7" max="7"/>
    <col width="14" customWidth="1" min="8" max="8"/>
    <col width="12" customWidth="1" min="9" max="9"/>
    <col width="12" customWidth="1" min="10" max="10"/>
  </cols>
  <sheetData>
    <row r="1">
      <c r="A1" s="10" t="inlineStr">
        <is>
          <t>Data Profile and Imbalance Diagnostics</t>
        </is>
      </c>
    </row>
    <row r="3">
      <c r="A3" s="2" t="inlineStr">
        <is>
          <t>How to use</t>
        </is>
      </c>
      <c r="B3" s="3" t="inlineStr">
        <is>
          <t>Paste exported counts into Count columns (or maintain manually). Formulas compute shares, imbalance flags, and sparsity flags.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6">
      <c r="A6" s="11" t="inlineStr">
        <is>
          <t>Threshold controls</t>
        </is>
      </c>
      <c r="D6" s="11" t="inlineStr">
        <is>
          <t>Profile summary</t>
        </is>
      </c>
    </row>
    <row r="7">
      <c r="A7" s="4" t="inlineStr">
        <is>
          <t>Sparse count threshold</t>
        </is>
      </c>
      <c r="B7" s="4" t="n">
        <v>20</v>
      </c>
      <c r="D7" s="4" t="inlineStr">
        <is>
          <t>Total_subject_samples</t>
        </is>
      </c>
      <c r="G7" s="4">
        <f>SUM(B13:B20)</f>
        <v/>
      </c>
    </row>
    <row r="8">
      <c r="A8" s="12" t="inlineStr">
        <is>
          <t>Mild imbalance ratio (max/min)</t>
        </is>
      </c>
      <c r="B8" s="12" t="n">
        <v>2</v>
      </c>
      <c r="D8" s="12" t="inlineStr">
        <is>
          <t>Total_session_samples</t>
        </is>
      </c>
      <c r="G8" s="12">
        <f>SUM(B25:B34)</f>
        <v/>
      </c>
    </row>
    <row r="9">
      <c r="A9" s="4" t="inlineStr">
        <is>
          <t>Severe imbalance ratio (max/min)</t>
        </is>
      </c>
      <c r="B9" s="4" t="n">
        <v>3</v>
      </c>
      <c r="D9" s="4" t="inlineStr">
        <is>
          <t>Total_task_samples</t>
        </is>
      </c>
      <c r="G9" s="4">
        <f>SUM(B39:B45)</f>
        <v/>
      </c>
    </row>
    <row r="10">
      <c r="D10" s="12" t="inlineStr">
        <is>
          <t>Total_modality_samples</t>
        </is>
      </c>
      <c r="G10" s="12">
        <f>SUM(B50:B55)</f>
        <v/>
      </c>
    </row>
    <row r="11">
      <c r="A11" s="13" t="inlineStr">
        <is>
          <t>Counts by subject</t>
        </is>
      </c>
      <c r="G11" s="4">
        <f>SUM(B60:B65)</f>
        <v/>
      </c>
    </row>
    <row r="12">
      <c r="A12" s="7" t="inlineStr">
        <is>
          <t>Subject_ID</t>
        </is>
      </c>
      <c r="B12" s="7" t="inlineStr">
        <is>
          <t>Count</t>
        </is>
      </c>
      <c r="C12" s="7" t="inlineStr">
        <is>
          <t>Share_of_Block</t>
        </is>
      </c>
      <c r="D12" s="7" t="inlineStr">
        <is>
          <t>Flag</t>
        </is>
      </c>
      <c r="E12" s="7" t="inlineStr">
        <is>
          <t>Notes</t>
        </is>
      </c>
      <c r="G12" s="12">
        <f>IFERROR(MAX(B60:B65)/MIN(B60:B65),"")</f>
        <v/>
      </c>
    </row>
    <row r="13">
      <c r="A13" s="3" t="inlineStr">
        <is>
          <t>sub-001</t>
        </is>
      </c>
      <c r="B13" s="3" t="n"/>
      <c r="C13" s="3">
        <f>IFERROR(B13/SUM($B$13:$B$20),0)</f>
        <v/>
      </c>
      <c r="D13" s="3">
        <f>IF(B13="","",IF(B13&lt;$B$7,"SPARSE","OK"))</f>
        <v/>
      </c>
      <c r="E13" s="3" t="n"/>
      <c r="G13" s="4">
        <f>IF(B60="","",IF(OR(MIN(B60:B65)=0,G12&gt;$B$9),"SEVERE_IMBALANCE",IF(G12&gt;$B$8,"MILD_IMBALANCE","BALANCED")))</f>
        <v/>
      </c>
    </row>
    <row r="14">
      <c r="A14" s="8" t="inlineStr">
        <is>
          <t>sub-002</t>
        </is>
      </c>
      <c r="B14" s="8" t="n"/>
      <c r="C14" s="8">
        <f>IFERROR(B14/SUM($B$13:$B$20),0)</f>
        <v/>
      </c>
      <c r="D14" s="8">
        <f>IF(B14="","",IF(B14&lt;$B$7,"SPARSE","OK"))</f>
        <v/>
      </c>
      <c r="E14" s="8" t="n"/>
    </row>
    <row r="15">
      <c r="A15" s="3" t="inlineStr">
        <is>
          <t>sub-003</t>
        </is>
      </c>
      <c r="B15" s="3" t="n"/>
      <c r="C15" s="3">
        <f>IFERROR(B15/SUM($B$13:$B$20),0)</f>
        <v/>
      </c>
      <c r="D15" s="3">
        <f>IF(B15="","",IF(B15&lt;$B$7,"SPARSE","OK"))</f>
        <v/>
      </c>
      <c r="E15" s="3" t="n"/>
    </row>
    <row r="16">
      <c r="A16" s="8" t="inlineStr">
        <is>
          <t>sub-004</t>
        </is>
      </c>
      <c r="B16" s="8" t="n"/>
      <c r="C16" s="8">
        <f>IFERROR(B16/SUM($B$13:$B$20),0)</f>
        <v/>
      </c>
      <c r="D16" s="8">
        <f>IF(B16="","",IF(B16&lt;$B$7,"SPARSE","OK"))</f>
        <v/>
      </c>
      <c r="E16" s="8" t="n"/>
    </row>
    <row r="17">
      <c r="A17" s="3" t="inlineStr">
        <is>
          <t>sub-005</t>
        </is>
      </c>
      <c r="B17" s="3" t="n"/>
      <c r="C17" s="3">
        <f>IFERROR(B17/SUM($B$13:$B$20),0)</f>
        <v/>
      </c>
      <c r="D17" s="3">
        <f>IF(B17="","",IF(B17&lt;$B$7,"SPARSE","OK"))</f>
        <v/>
      </c>
      <c r="E17" s="3" t="n"/>
    </row>
    <row r="18">
      <c r="A18" s="8" t="inlineStr">
        <is>
          <t>sub-006</t>
        </is>
      </c>
      <c r="B18" s="8" t="n"/>
      <c r="C18" s="8">
        <f>IFERROR(B18/SUM($B$13:$B$20),0)</f>
        <v/>
      </c>
      <c r="D18" s="8">
        <f>IF(B18="","",IF(B18&lt;$B$7,"SPARSE","OK"))</f>
        <v/>
      </c>
      <c r="E18" s="8" t="n"/>
    </row>
    <row r="19">
      <c r="A19" s="3" t="inlineStr">
        <is>
          <t>sub-007</t>
        </is>
      </c>
      <c r="B19" s="3" t="n"/>
      <c r="C19" s="3">
        <f>IFERROR(B19/SUM($B$13:$B$20),0)</f>
        <v/>
      </c>
      <c r="D19" s="3">
        <f>IF(B19="","",IF(B19&lt;$B$7,"SPARSE","OK"))</f>
        <v/>
      </c>
      <c r="E19" s="3" t="n"/>
    </row>
    <row r="20">
      <c r="A20" s="8" t="inlineStr">
        <is>
          <t>sub-008</t>
        </is>
      </c>
      <c r="B20" s="8" t="n"/>
      <c r="C20" s="8">
        <f>IFERROR(B20/SUM($B$13:$B$20),0)</f>
        <v/>
      </c>
      <c r="D20" s="8">
        <f>IF(B20="","",IF(B20&lt;$B$7,"SPARSE","OK"))</f>
        <v/>
      </c>
      <c r="E20" s="8" t="n"/>
    </row>
    <row r="23">
      <c r="A23" s="13" t="inlineStr">
        <is>
          <t>Counts by session</t>
        </is>
      </c>
    </row>
    <row r="24">
      <c r="A24" s="7" t="inlineStr">
        <is>
          <t>Session_ID</t>
        </is>
      </c>
      <c r="B24" s="7" t="inlineStr">
        <is>
          <t>Count</t>
        </is>
      </c>
      <c r="C24" s="7" t="inlineStr">
        <is>
          <t>Share_of_Block</t>
        </is>
      </c>
      <c r="D24" s="7" t="inlineStr">
        <is>
          <t>Flag</t>
        </is>
      </c>
      <c r="E24" s="7" t="inlineStr">
        <is>
          <t>Notes</t>
        </is>
      </c>
    </row>
    <row r="25">
      <c r="A25" s="3" t="inlineStr">
        <is>
          <t>ses-01</t>
        </is>
      </c>
      <c r="B25" s="3" t="n"/>
      <c r="C25" s="3">
        <f>IFERROR(B25/SUM($B$25:$B$34),0)</f>
        <v/>
      </c>
      <c r="D25" s="3">
        <f>IF(B25="","",IF(B25&lt;$B$7,"SPARSE","OK"))</f>
        <v/>
      </c>
      <c r="E25" s="3" t="n"/>
    </row>
    <row r="26">
      <c r="A26" s="8" t="inlineStr">
        <is>
          <t>ses-02</t>
        </is>
      </c>
      <c r="B26" s="8" t="n"/>
      <c r="C26" s="8">
        <f>IFERROR(B26/SUM($B$25:$B$34),0)</f>
        <v/>
      </c>
      <c r="D26" s="8">
        <f>IF(B26="","",IF(B26&lt;$B$7,"SPARSE","OK"))</f>
        <v/>
      </c>
      <c r="E26" s="8" t="n"/>
    </row>
    <row r="27">
      <c r="A27" s="3" t="inlineStr">
        <is>
          <t>ses-03</t>
        </is>
      </c>
      <c r="B27" s="3" t="n"/>
      <c r="C27" s="3">
        <f>IFERROR(B27/SUM($B$25:$B$34),0)</f>
        <v/>
      </c>
      <c r="D27" s="3">
        <f>IF(B27="","",IF(B27&lt;$B$7,"SPARSE","OK"))</f>
        <v/>
      </c>
      <c r="E27" s="3" t="n"/>
    </row>
    <row r="28">
      <c r="A28" s="8" t="inlineStr">
        <is>
          <t>ses-04</t>
        </is>
      </c>
      <c r="B28" s="8" t="n"/>
      <c r="C28" s="8">
        <f>IFERROR(B28/SUM($B$25:$B$34),0)</f>
        <v/>
      </c>
      <c r="D28" s="8">
        <f>IF(B28="","",IF(B28&lt;$B$7,"SPARSE","OK"))</f>
        <v/>
      </c>
      <c r="E28" s="8" t="n"/>
    </row>
    <row r="29">
      <c r="A29" s="3" t="inlineStr">
        <is>
          <t>ses-05</t>
        </is>
      </c>
      <c r="B29" s="3" t="n"/>
      <c r="C29" s="3">
        <f>IFERROR(B29/SUM($B$25:$B$34),0)</f>
        <v/>
      </c>
      <c r="D29" s="3">
        <f>IF(B29="","",IF(B29&lt;$B$7,"SPARSE","OK"))</f>
        <v/>
      </c>
      <c r="E29" s="3" t="n"/>
    </row>
    <row r="30">
      <c r="A30" s="8" t="inlineStr">
        <is>
          <t>ses-06</t>
        </is>
      </c>
      <c r="B30" s="8" t="n"/>
      <c r="C30" s="8">
        <f>IFERROR(B30/SUM($B$25:$B$34),0)</f>
        <v/>
      </c>
      <c r="D30" s="8">
        <f>IF(B30="","",IF(B30&lt;$B$7,"SPARSE","OK"))</f>
        <v/>
      </c>
      <c r="E30" s="8" t="n"/>
    </row>
    <row r="31">
      <c r="A31" s="3" t="inlineStr">
        <is>
          <t>ses-07</t>
        </is>
      </c>
      <c r="B31" s="3" t="n"/>
      <c r="C31" s="3">
        <f>IFERROR(B31/SUM($B$25:$B$34),0)</f>
        <v/>
      </c>
      <c r="D31" s="3">
        <f>IF(B31="","",IF(B31&lt;$B$7,"SPARSE","OK"))</f>
        <v/>
      </c>
      <c r="E31" s="3" t="n"/>
    </row>
    <row r="32">
      <c r="A32" s="8" t="inlineStr">
        <is>
          <t>ses-08</t>
        </is>
      </c>
      <c r="B32" s="8" t="n"/>
      <c r="C32" s="8">
        <f>IFERROR(B32/SUM($B$25:$B$34),0)</f>
        <v/>
      </c>
      <c r="D32" s="8">
        <f>IF(B32="","",IF(B32&lt;$B$7,"SPARSE","OK"))</f>
        <v/>
      </c>
      <c r="E32" s="8" t="n"/>
    </row>
    <row r="33">
      <c r="A33" s="3" t="inlineStr">
        <is>
          <t>ses-09</t>
        </is>
      </c>
      <c r="B33" s="3" t="n"/>
      <c r="C33" s="3">
        <f>IFERROR(B33/SUM($B$25:$B$34),0)</f>
        <v/>
      </c>
      <c r="D33" s="3">
        <f>IF(B33="","",IF(B33&lt;$B$7,"SPARSE","OK"))</f>
        <v/>
      </c>
      <c r="E33" s="3" t="n"/>
    </row>
    <row r="34">
      <c r="A34" s="8" t="inlineStr">
        <is>
          <t>ses-10</t>
        </is>
      </c>
      <c r="B34" s="8" t="n"/>
      <c r="C34" s="8">
        <f>IFERROR(B34/SUM($B$25:$B$34),0)</f>
        <v/>
      </c>
      <c r="D34" s="8">
        <f>IF(B34="","",IF(B34&lt;$B$7,"SPARSE","OK"))</f>
        <v/>
      </c>
      <c r="E34" s="8" t="n"/>
    </row>
    <row r="37">
      <c r="A37" s="13" t="inlineStr">
        <is>
          <t>Counts by task</t>
        </is>
      </c>
    </row>
    <row r="38">
      <c r="A38" s="7" t="inlineStr">
        <is>
          <t>Task_ID</t>
        </is>
      </c>
      <c r="B38" s="7" t="inlineStr">
        <is>
          <t>Count</t>
        </is>
      </c>
      <c r="C38" s="7" t="inlineStr">
        <is>
          <t>Share_of_Block</t>
        </is>
      </c>
      <c r="D38" s="7" t="inlineStr">
        <is>
          <t>Flag</t>
        </is>
      </c>
      <c r="E38" s="7" t="inlineStr">
        <is>
          <t>Notes</t>
        </is>
      </c>
    </row>
    <row r="39">
      <c r="A39" s="3" t="inlineStr">
        <is>
          <t>pooled_all_tasks</t>
        </is>
      </c>
      <c r="B39" s="3" t="n"/>
      <c r="C39" s="3">
        <f>IFERROR(B39/SUM($B$39:$B$45),0)</f>
        <v/>
      </c>
      <c r="D39" s="3">
        <f>IF(B39="","",IF(B39&lt;$B$7,"SPARSE","OK"))</f>
        <v/>
      </c>
      <c r="E39" s="3" t="n"/>
    </row>
    <row r="40">
      <c r="A40" s="8" t="inlineStr">
        <is>
          <t>passive_only</t>
        </is>
      </c>
      <c r="B40" s="8" t="n"/>
      <c r="C40" s="8">
        <f>IFERROR(B40/SUM($B$39:$B$45),0)</f>
        <v/>
      </c>
      <c r="D40" s="8">
        <f>IF(B40="","",IF(B40&lt;$B$7,"SPARSE","OK"))</f>
        <v/>
      </c>
      <c r="E40" s="8" t="n"/>
    </row>
    <row r="41">
      <c r="A41" s="3" t="inlineStr">
        <is>
          <t>emo_only</t>
        </is>
      </c>
      <c r="B41" s="3" t="n"/>
      <c r="C41" s="3">
        <f>IFERROR(B41/SUM($B$39:$B$45),0)</f>
        <v/>
      </c>
      <c r="D41" s="3">
        <f>IF(B41="","",IF(B41&lt;$B$7,"SPARSE","OK"))</f>
        <v/>
      </c>
      <c r="E41" s="3" t="n"/>
    </row>
    <row r="42">
      <c r="A42" s="8" t="inlineStr">
        <is>
          <t>rating_only</t>
        </is>
      </c>
      <c r="B42" s="8" t="n"/>
      <c r="C42" s="8">
        <f>IFERROR(B42/SUM($B$39:$B$45),0)</f>
        <v/>
      </c>
      <c r="D42" s="8">
        <f>IF(B42="","",IF(B42&lt;$B$7,"SPARSE","OK"))</f>
        <v/>
      </c>
      <c r="E42" s="8" t="n"/>
    </row>
    <row r="43">
      <c r="A43" s="3" t="inlineStr">
        <is>
          <t>task_specific_other</t>
        </is>
      </c>
      <c r="B43" s="3" t="n"/>
      <c r="C43" s="3">
        <f>IFERROR(B43/SUM($B$39:$B$45),0)</f>
        <v/>
      </c>
      <c r="D43" s="3">
        <f>IF(B43="","",IF(B43&lt;$B$7,"SPARSE","OK"))</f>
        <v/>
      </c>
      <c r="E43" s="3" t="n"/>
    </row>
    <row r="44">
      <c r="A44" s="8" t="inlineStr">
        <is>
          <t>custom_task_1</t>
        </is>
      </c>
      <c r="B44" s="8" t="n"/>
      <c r="C44" s="8">
        <f>IFERROR(B44/SUM($B$39:$B$45),0)</f>
        <v/>
      </c>
      <c r="D44" s="8">
        <f>IF(B44="","",IF(B44&lt;$B$7,"SPARSE","OK"))</f>
        <v/>
      </c>
      <c r="E44" s="8" t="n"/>
    </row>
    <row r="45">
      <c r="A45" s="3" t="inlineStr">
        <is>
          <t>custom_task_2</t>
        </is>
      </c>
      <c r="B45" s="3" t="n"/>
      <c r="C45" s="3">
        <f>IFERROR(B45/SUM($B$39:$B$45),0)</f>
        <v/>
      </c>
      <c r="D45" s="3">
        <f>IF(B45="","",IF(B45&lt;$B$7,"SPARSE","OK"))</f>
        <v/>
      </c>
      <c r="E45" s="3" t="n"/>
    </row>
    <row r="48">
      <c r="A48" s="13" t="inlineStr">
        <is>
          <t>Counts by modality</t>
        </is>
      </c>
    </row>
    <row r="49">
      <c r="A49" s="7" t="inlineStr">
        <is>
          <t>Modality_ID</t>
        </is>
      </c>
      <c r="B49" s="7" t="inlineStr">
        <is>
          <t>Count</t>
        </is>
      </c>
      <c r="C49" s="7" t="inlineStr">
        <is>
          <t>Share_of_Block</t>
        </is>
      </c>
      <c r="D49" s="7" t="inlineStr">
        <is>
          <t>Flag</t>
        </is>
      </c>
      <c r="E49" s="7" t="inlineStr">
        <is>
          <t>Notes</t>
        </is>
      </c>
    </row>
    <row r="50">
      <c r="A50" s="8" t="inlineStr">
        <is>
          <t>pooled_all_modalities</t>
        </is>
      </c>
      <c r="B50" s="8" t="n"/>
      <c r="C50" s="8">
        <f>IFERROR(B50/SUM($B$50:$B$55),0)</f>
        <v/>
      </c>
      <c r="D50" s="8">
        <f>IF(B50="","",IF(B50&lt;$B$7,"SPARSE","OK"))</f>
        <v/>
      </c>
      <c r="E50" s="8" t="n"/>
    </row>
    <row r="51">
      <c r="A51" s="3" t="inlineStr">
        <is>
          <t>audio_only</t>
        </is>
      </c>
      <c r="B51" s="3" t="n"/>
      <c r="C51" s="3">
        <f>IFERROR(B51/SUM($B$50:$B$55),0)</f>
        <v/>
      </c>
      <c r="D51" s="3">
        <f>IF(B51="","",IF(B51&lt;$B$7,"SPARSE","OK"))</f>
        <v/>
      </c>
      <c r="E51" s="3" t="n"/>
    </row>
    <row r="52">
      <c r="A52" s="8" t="inlineStr">
        <is>
          <t>video_only</t>
        </is>
      </c>
      <c r="B52" s="8" t="n"/>
      <c r="C52" s="8">
        <f>IFERROR(B52/SUM($B$50:$B$55),0)</f>
        <v/>
      </c>
      <c r="D52" s="8">
        <f>IF(B52="","",IF(B52&lt;$B$7,"SPARSE","OK"))</f>
        <v/>
      </c>
      <c r="E52" s="8" t="n"/>
    </row>
    <row r="53">
      <c r="A53" s="3" t="inlineStr">
        <is>
          <t>audiovisual_only</t>
        </is>
      </c>
      <c r="B53" s="3" t="n"/>
      <c r="C53" s="3">
        <f>IFERROR(B53/SUM($B$50:$B$55),0)</f>
        <v/>
      </c>
      <c r="D53" s="3">
        <f>IF(B53="","",IF(B53&lt;$B$7,"SPARSE","OK"))</f>
        <v/>
      </c>
      <c r="E53" s="3" t="n"/>
    </row>
    <row r="54">
      <c r="A54" s="8" t="inlineStr">
        <is>
          <t>custom_modality_1</t>
        </is>
      </c>
      <c r="B54" s="8" t="n"/>
      <c r="C54" s="8">
        <f>IFERROR(B54/SUM($B$50:$B$55),0)</f>
        <v/>
      </c>
      <c r="D54" s="8">
        <f>IF(B54="","",IF(B54&lt;$B$7,"SPARSE","OK"))</f>
        <v/>
      </c>
      <c r="E54" s="8" t="n"/>
    </row>
    <row r="55">
      <c r="A55" s="3" t="inlineStr">
        <is>
          <t>custom_modality_2</t>
        </is>
      </c>
      <c r="B55" s="3" t="n"/>
      <c r="C55" s="3">
        <f>IFERROR(B55/SUM($B$50:$B$55),0)</f>
        <v/>
      </c>
      <c r="D55" s="3">
        <f>IF(B55="","",IF(B55&lt;$B$7,"SPARSE","OK"))</f>
        <v/>
      </c>
      <c r="E55" s="3" t="n"/>
    </row>
    <row r="58">
      <c r="A58" s="13" t="inlineStr">
        <is>
          <t>Counts by target/class</t>
        </is>
      </c>
    </row>
    <row r="59">
      <c r="A59" s="7" t="inlineStr">
        <is>
          <t>Target_or_Class_ID</t>
        </is>
      </c>
      <c r="B59" s="7" t="inlineStr">
        <is>
          <t>Count</t>
        </is>
      </c>
      <c r="C59" s="7" t="inlineStr">
        <is>
          <t>Share_of_Block</t>
        </is>
      </c>
      <c r="D59" s="7" t="inlineStr">
        <is>
          <t>Flag</t>
        </is>
      </c>
      <c r="E59" s="7" t="inlineStr">
        <is>
          <t>Notes</t>
        </is>
      </c>
    </row>
    <row r="60">
      <c r="A60" s="8" t="inlineStr">
        <is>
          <t>coarse_affect_neg</t>
        </is>
      </c>
      <c r="B60" s="8" t="n"/>
      <c r="C60" s="8">
        <f>IFERROR(B60/SUM($B$60:$B$65),0)</f>
        <v/>
      </c>
      <c r="D60" s="8">
        <f>IF(B60="","",IF(OR(MIN($B$60:$B$65)=0,MAX($B$60:$B$65)/MIN($B$60:$B$65)&gt;$B$9),"SEVERE_IMBALANCE",IF(MAX($B$60:$B$65)/MIN($B$60:$B$65)&gt;$B$8,"MILD_IMBALANCE","BALANCED")))</f>
        <v/>
      </c>
      <c r="E60" s="8" t="n"/>
    </row>
    <row r="61">
      <c r="A61" s="3" t="inlineStr">
        <is>
          <t>coarse_affect_neu</t>
        </is>
      </c>
      <c r="B61" s="3" t="n"/>
      <c r="C61" s="3">
        <f>IFERROR(B61/SUM($B$60:$B$65),0)</f>
        <v/>
      </c>
      <c r="D61" s="3">
        <f>IF(B61="","",IF(OR(MIN($B$60:$B$65)=0,MAX($B$60:$B$65)/MIN($B$60:$B$65)&gt;$B$9),"SEVERE_IMBALANCE",IF(MAX($B$60:$B$65)/MIN($B$60:$B$65)&gt;$B$8,"MILD_IMBALANCE","BALANCED")))</f>
        <v/>
      </c>
      <c r="E61" s="3" t="n"/>
    </row>
    <row r="62">
      <c r="A62" s="8" t="inlineStr">
        <is>
          <t>coarse_affect_pos</t>
        </is>
      </c>
      <c r="B62" s="8" t="n"/>
      <c r="C62" s="8">
        <f>IFERROR(B62/SUM($B$60:$B$65),0)</f>
        <v/>
      </c>
      <c r="D62" s="8">
        <f>IF(B62="","",IF(OR(MIN($B$60:$B$65)=0,MAX($B$60:$B$65)/MIN($B$60:$B$65)&gt;$B$9),"SEVERE_IMBALANCE",IF(MAX($B$60:$B$65)/MIN($B$60:$B$65)&gt;$B$8,"MILD_IMBALANCE","BALANCED")))</f>
        <v/>
      </c>
      <c r="E62" s="8" t="n"/>
    </row>
    <row r="63">
      <c r="A63" s="3" t="inlineStr">
        <is>
          <t>binary_neg</t>
        </is>
      </c>
      <c r="B63" s="3" t="n"/>
      <c r="C63" s="3">
        <f>IFERROR(B63/SUM($B$60:$B$65),0)</f>
        <v/>
      </c>
      <c r="D63" s="3">
        <f>IF(B63="","",IF(OR(MIN($B$60:$B$65)=0,MAX($B$60:$B$65)/MIN($B$60:$B$65)&gt;$B$9),"SEVERE_IMBALANCE",IF(MAX($B$60:$B$65)/MIN($B$60:$B$65)&gt;$B$8,"MILD_IMBALANCE","BALANCED")))</f>
        <v/>
      </c>
      <c r="E63" s="3" t="n"/>
    </row>
    <row r="64">
      <c r="A64" s="8" t="inlineStr">
        <is>
          <t>binary_pos</t>
        </is>
      </c>
      <c r="B64" s="8" t="n"/>
      <c r="C64" s="8">
        <f>IFERROR(B64/SUM($B$60:$B$65),0)</f>
        <v/>
      </c>
      <c r="D64" s="8">
        <f>IF(B64="","",IF(OR(MIN($B$60:$B$65)=0,MAX($B$60:$B$65)/MIN($B$60:$B$65)&gt;$B$9),"SEVERE_IMBALANCE",IF(MAX($B$60:$B$65)/MIN($B$60:$B$65)&gt;$B$8,"MILD_IMBALANCE","BALANCED")))</f>
        <v/>
      </c>
      <c r="E64" s="8" t="n"/>
    </row>
    <row r="65">
      <c r="A65" s="3" t="inlineStr">
        <is>
          <t>custom_class_1</t>
        </is>
      </c>
      <c r="B65" s="3" t="n"/>
      <c r="C65" s="3">
        <f>IFERROR(B65/SUM($B$60:$B$65),0)</f>
        <v/>
      </c>
      <c r="D65" s="3">
        <f>IF(B65="","",IF(OR(MIN($B$60:$B$65)=0,MAX($B$60:$B$65)/MIN($B$60:$B$65)&gt;$B$9),"SEVERE_IMBALANCE",IF(MAX($B$60:$B$65)/MIN($B$60:$B$65)&gt;$B$8,"MILD_IMBALANCE","BALANCED")))</f>
        <v/>
      </c>
      <c r="E65" s="3" t="n"/>
    </row>
    <row r="69">
      <c r="A69" s="13" t="inlineStr">
        <is>
          <t>Counts by Data_Slice_ID</t>
        </is>
      </c>
    </row>
    <row r="70">
      <c r="A70" s="7" t="inlineStr">
        <is>
          <t>Data_Slice_ID</t>
        </is>
      </c>
      <c r="B70" s="7" t="inlineStr">
        <is>
          <t>Count</t>
        </is>
      </c>
      <c r="C70" s="7" t="inlineStr">
        <is>
          <t>Share_of_Block</t>
        </is>
      </c>
      <c r="D70" s="7" t="inlineStr">
        <is>
          <t>Flag</t>
        </is>
      </c>
      <c r="E70" s="7" t="inlineStr">
        <is>
          <t>Notes</t>
        </is>
      </c>
    </row>
    <row r="71">
      <c r="A71" s="3">
        <f>IFERROR(Data_Selection_Design!$A2,"")</f>
        <v/>
      </c>
      <c r="B71" s="3" t="n"/>
      <c r="C71" s="3">
        <f>IFERROR(B71/SUM($B$71:$B$80),0)</f>
        <v/>
      </c>
      <c r="D71" s="3">
        <f>IF(B71="","",IF(B71&lt;$B$7,"SPARSE","OK"))</f>
        <v/>
      </c>
      <c r="E71" s="3" t="n"/>
    </row>
    <row r="72">
      <c r="A72" s="8">
        <f>IFERROR(Data_Selection_Design!$A3,"")</f>
        <v/>
      </c>
      <c r="B72" s="8" t="n"/>
      <c r="C72" s="8">
        <f>IFERROR(B72/SUM($B$71:$B$80),0)</f>
        <v/>
      </c>
      <c r="D72" s="8">
        <f>IF(B72="","",IF(B72&lt;$B$7,"SPARSE","OK"))</f>
        <v/>
      </c>
      <c r="E72" s="8" t="n"/>
    </row>
    <row r="73">
      <c r="A73" s="3">
        <f>IFERROR(Data_Selection_Design!$A4,"")</f>
        <v/>
      </c>
      <c r="B73" s="3" t="n"/>
      <c r="C73" s="3">
        <f>IFERROR(B73/SUM($B$71:$B$80),0)</f>
        <v/>
      </c>
      <c r="D73" s="3">
        <f>IF(B73="","",IF(B73&lt;$B$7,"SPARSE","OK"))</f>
        <v/>
      </c>
      <c r="E73" s="3" t="n"/>
    </row>
    <row r="74">
      <c r="A74" s="8">
        <f>IFERROR(Data_Selection_Design!$A5,"")</f>
        <v/>
      </c>
      <c r="B74" s="8" t="n"/>
      <c r="C74" s="8">
        <f>IFERROR(B74/SUM($B$71:$B$80),0)</f>
        <v/>
      </c>
      <c r="D74" s="8">
        <f>IF(B74="","",IF(B74&lt;$B$7,"SPARSE","OK"))</f>
        <v/>
      </c>
      <c r="E74" s="8" t="n"/>
    </row>
    <row r="75">
      <c r="A75" s="3">
        <f>IFERROR(Data_Selection_Design!$A6,"")</f>
        <v/>
      </c>
      <c r="B75" s="3" t="n"/>
      <c r="C75" s="3">
        <f>IFERROR(B75/SUM($B$71:$B$80),0)</f>
        <v/>
      </c>
      <c r="D75" s="3">
        <f>IF(B75="","",IF(B75&lt;$B$7,"SPARSE","OK"))</f>
        <v/>
      </c>
      <c r="E75" s="3" t="n"/>
    </row>
    <row r="76">
      <c r="A76" s="8">
        <f>IFERROR(Data_Selection_Design!$A7,"")</f>
        <v/>
      </c>
      <c r="B76" s="8" t="n"/>
      <c r="C76" s="8">
        <f>IFERROR(B76/SUM($B$71:$B$80),0)</f>
        <v/>
      </c>
      <c r="D76" s="8">
        <f>IF(B76="","",IF(B76&lt;$B$7,"SPARSE","OK"))</f>
        <v/>
      </c>
      <c r="E76" s="8" t="n"/>
    </row>
    <row r="77">
      <c r="A77" s="3">
        <f>IFERROR(Data_Selection_Design!$A8,"")</f>
        <v/>
      </c>
      <c r="B77" s="3" t="n"/>
      <c r="C77" s="3">
        <f>IFERROR(B77/SUM($B$71:$B$80),0)</f>
        <v/>
      </c>
      <c r="D77" s="3">
        <f>IF(B77="","",IF(B77&lt;$B$7,"SPARSE","OK"))</f>
        <v/>
      </c>
      <c r="E77" s="3" t="n"/>
    </row>
    <row r="78">
      <c r="A78" s="8">
        <f>IFERROR(Data_Selection_Design!$A9,"")</f>
        <v/>
      </c>
      <c r="B78" s="8" t="n"/>
      <c r="C78" s="8">
        <f>IFERROR(B78/SUM($B$71:$B$80),0)</f>
        <v/>
      </c>
      <c r="D78" s="8">
        <f>IF(B78="","",IF(B78&lt;$B$7,"SPARSE","OK"))</f>
        <v/>
      </c>
      <c r="E78" s="8" t="n"/>
    </row>
    <row r="79">
      <c r="A79" s="3">
        <f>IFERROR(Data_Selection_Design!$A10,"")</f>
        <v/>
      </c>
      <c r="B79" s="3" t="n"/>
      <c r="C79" s="3">
        <f>IFERROR(B79/SUM($B$71:$B$80),0)</f>
        <v/>
      </c>
      <c r="D79" s="3">
        <f>IF(B79="","",IF(B79&lt;$B$7,"SPARSE","OK"))</f>
        <v/>
      </c>
      <c r="E79" s="3" t="n"/>
    </row>
    <row r="80">
      <c r="A80" s="8">
        <f>IFERROR(Data_Selection_Design!$A11,"")</f>
        <v/>
      </c>
      <c r="B80" s="8" t="n"/>
      <c r="C80" s="8">
        <f>IFERROR(B80/SUM($B$71:$B$80),0)</f>
        <v/>
      </c>
      <c r="D80" s="8">
        <f>IF(B80="","",IF(B80&lt;$B$7,"SPARSE","OK"))</f>
        <v/>
      </c>
      <c r="E80" s="8" t="n"/>
    </row>
  </sheetData>
  <mergeCells count="8">
    <mergeCell ref="A1:J1"/>
    <mergeCell ref="A69:E69"/>
    <mergeCell ref="A48:E48"/>
    <mergeCell ref="A11:E11"/>
    <mergeCell ref="A23:E23"/>
    <mergeCell ref="A37:E37"/>
    <mergeCell ref="B3:J4"/>
    <mergeCell ref="A58:E58"/>
  </mergeCells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20" customWidth="1" min="4" max="4"/>
    <col width="22" customWidth="1" min="5" max="5"/>
    <col width="12" customWidth="1" min="6" max="6"/>
    <col width="16" customWidth="1" min="7" max="7"/>
    <col width="22" customWidth="1" min="8" max="8"/>
    <col width="30" customWidth="1" min="9" max="9"/>
    <col width="12" customWidth="1" min="10" max="10"/>
    <col width="16" customWidth="1" min="11" max="11"/>
    <col width="24" customWidth="1" min="12" max="12"/>
    <col width="22" customWidth="1" min="13" max="13"/>
    <col width="22" customWidth="1" min="14" max="14"/>
    <col width="18" customWidth="1" min="15" max="15"/>
    <col width="18" customWidth="1" min="16" max="16"/>
    <col width="18" customWidth="1" min="17" max="17"/>
    <col width="20" customWidth="1" min="18" max="18"/>
    <col width="16" customWidth="1" min="19" max="19"/>
    <col width="22" customWidth="1" min="20" max="20"/>
    <col width="18" customWidth="1" min="21" max="21"/>
    <col width="18" customWidth="1" min="22" max="22"/>
    <col width="22" customWidth="1" min="23" max="23"/>
    <col width="12" customWidth="1" min="24" max="24"/>
    <col width="20" customWidth="1" min="25" max="25"/>
    <col width="18" customWidth="1" min="26" max="26"/>
    <col width="20" customWidth="1" min="27" max="27"/>
    <col width="18" customWidth="1" min="28" max="28"/>
    <col width="18" customWidth="1" min="29" max="29"/>
    <col width="18" customWidth="1" min="30" max="30"/>
    <col width="30" customWidth="1" min="31" max="31"/>
    <col width="28" customWidth="1" min="32" max="32"/>
    <col width="34" customWidth="1" min="33" max="33"/>
    <col width="12" customWidth="1" min="34" max="34"/>
    <col width="14" customWidth="1" min="35" max="35"/>
    <col width="36" customWidth="1" min="36" max="36"/>
    <col width="28" customWidth="1" min="37" max="37"/>
  </cols>
  <sheetData>
    <row r="1">
      <c r="A1" s="7" t="inlineStr">
        <is>
          <t>Run_ID</t>
        </is>
      </c>
      <c r="B1" s="7" t="inlineStr">
        <is>
          <t>Experiment_ID</t>
        </is>
      </c>
      <c r="C1" s="7" t="inlineStr">
        <is>
          <t>Run_Date</t>
        </is>
      </c>
      <c r="D1" s="7" t="inlineStr">
        <is>
          <t>Dataset_Name</t>
        </is>
      </c>
      <c r="E1" s="7" t="inlineStr">
        <is>
          <t>Data_Subset</t>
        </is>
      </c>
      <c r="F1" s="7" t="inlineStr">
        <is>
          <t>Data_Slice_ID</t>
        </is>
      </c>
      <c r="G1" s="7" t="inlineStr">
        <is>
          <t>Grouping_Strategy_ID</t>
        </is>
      </c>
      <c r="H1" s="7" t="inlineStr">
        <is>
          <t>Code_Commit_or_Version</t>
        </is>
      </c>
      <c r="I1" s="7" t="inlineStr">
        <is>
          <t>Config_File_or_Path</t>
        </is>
      </c>
      <c r="J1" s="7" t="inlineStr">
        <is>
          <t>Random_Seed</t>
        </is>
      </c>
      <c r="K1" s="7" t="inlineStr">
        <is>
          <t>Target</t>
        </is>
      </c>
      <c r="L1" s="7" t="inlineStr">
        <is>
          <t>Split_ID_or_Fold_Definition</t>
        </is>
      </c>
      <c r="M1" s="7" t="inlineStr">
        <is>
          <t>Train_Group_Rule</t>
        </is>
      </c>
      <c r="N1" s="7" t="inlineStr">
        <is>
          <t>Test_Group_Rule</t>
        </is>
      </c>
      <c r="O1" s="7" t="inlineStr">
        <is>
          <t>Transfer_Direction</t>
        </is>
      </c>
      <c r="P1" s="7" t="inlineStr">
        <is>
          <t>Session_Coverage</t>
        </is>
      </c>
      <c r="Q1" s="7" t="inlineStr">
        <is>
          <t>Task_Coverage</t>
        </is>
      </c>
      <c r="R1" s="7" t="inlineStr">
        <is>
          <t>Modality_Coverage</t>
        </is>
      </c>
      <c r="S1" s="7" t="inlineStr">
        <is>
          <t>Model</t>
        </is>
      </c>
      <c r="T1" s="7" t="inlineStr">
        <is>
          <t>Feature_Set</t>
        </is>
      </c>
      <c r="U1" s="7" t="inlineStr">
        <is>
          <t>Run_Type</t>
        </is>
      </c>
      <c r="V1" s="7" t="inlineStr">
        <is>
          <t>Affects_Frozen_Pipeline</t>
        </is>
      </c>
      <c r="W1" s="7" t="inlineStr">
        <is>
          <t>Eligible_for_Method_Decision</t>
        </is>
      </c>
      <c r="X1" s="7" t="inlineStr">
        <is>
          <t>Sample_Count</t>
        </is>
      </c>
      <c r="Y1" s="7" t="inlineStr">
        <is>
          <t>Class_Counts</t>
        </is>
      </c>
      <c r="Z1" s="7" t="inlineStr">
        <is>
          <t>Imbalance_Status</t>
        </is>
      </c>
      <c r="AA1" s="7" t="inlineStr">
        <is>
          <t>Leakage_Check_Status</t>
        </is>
      </c>
      <c r="AB1" s="7" t="inlineStr">
        <is>
          <t>Primary_Metric_Value</t>
        </is>
      </c>
      <c r="AC1" s="7" t="inlineStr">
        <is>
          <t>Secondary_Metric_1</t>
        </is>
      </c>
      <c r="AD1" s="7" t="inlineStr">
        <is>
          <t>Secondary_Metric_2</t>
        </is>
      </c>
      <c r="AE1" s="7" t="inlineStr">
        <is>
          <t>Robustness_Output_Summary</t>
        </is>
      </c>
      <c r="AF1" s="7" t="inlineStr">
        <is>
          <t>Result_Summary</t>
        </is>
      </c>
      <c r="AG1" s="7" t="inlineStr">
        <is>
          <t>Preliminary_Interpretation</t>
        </is>
      </c>
      <c r="AH1" s="7" t="inlineStr">
        <is>
          <t>Reviewed</t>
        </is>
      </c>
      <c r="AI1" s="7" t="inlineStr">
        <is>
          <t>Used_in_Thesis</t>
        </is>
      </c>
      <c r="AJ1" s="7" t="inlineStr">
        <is>
          <t>Artifact_Path</t>
        </is>
      </c>
      <c r="AK1" s="7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</row>
  </sheetData>
  <autoFilter ref="A1:AK41"/>
  <dataValidations count="13">
    <dataValidation sqref="F2:F1000" showDropDown="0" showInputMessage="0" showErrorMessage="0" allowBlank="1" type="list">
      <formula1>=List_Data_Slice_ID</formula1>
    </dataValidation>
    <dataValidation sqref="G2:G1000" showDropDown="0" showInputMessage="0" showErrorMessage="0" allowBlank="1" type="list">
      <formula1>=List_Grouping_Strategy_ID</formula1>
    </dataValidation>
    <dataValidation sqref="O2:O1000" showDropDown="0" showInputMessage="0" showErrorMessage="0" allowBlank="1" type="list">
      <formula1>=List_Transfer_Direction</formula1>
    </dataValidation>
    <dataValidation sqref="P2:P1000" showDropDown="0" showInputMessage="0" showErrorMessage="0" allowBlank="1" type="list">
      <formula1>=List_Session_Scope</formula1>
    </dataValidation>
    <dataValidation sqref="Q2:Q1000" showDropDown="0" showInputMessage="0" showErrorMessage="0" allowBlank="1" type="list">
      <formula1>=List_Task_Scope</formula1>
    </dataValidation>
    <dataValidation sqref="R2:R1000" showDropDown="0" showInputMessage="0" showErrorMessage="0" allowBlank="1" type="list">
      <formula1>=List_Modality_Scope</formula1>
    </dataValidation>
    <dataValidation sqref="U2:U1000" showDropDown="0" showInputMessage="0" showErrorMessage="0" allowBlank="1" type="list">
      <formula1>=List_Run_Type</formula1>
    </dataValidation>
    <dataValidation sqref="V2:V1000" showDropDown="0" showInputMessage="0" showErrorMessage="0" allowBlank="1" type="list">
      <formula1>=List_Affects_Frozen_Pipeline</formula1>
    </dataValidation>
    <dataValidation sqref="W2:W1000" showDropDown="0" showInputMessage="0" showErrorMessage="0" allowBlank="1" type="list">
      <formula1>=List_Eligible_for_Method_Decision</formula1>
    </dataValidation>
    <dataValidation sqref="Z2:Z1000" showDropDown="0" showInputMessage="0" showErrorMessage="0" allowBlank="1" type="list">
      <formula1>=List_Imbalance_Status</formula1>
    </dataValidation>
    <dataValidation sqref="AA2:AA1000" showDropDown="0" showInputMessage="0" showErrorMessage="0" allowBlank="1" type="list">
      <formula1>=List_Leakage_Check_Status</formula1>
    </dataValidation>
    <dataValidation sqref="AH2:AH1000" showDropDown="0" showInputMessage="0" showErrorMessage="0" allowBlank="1" type="list">
      <formula1>=List_Reviewed</formula1>
    </dataValidation>
    <dataValidation sqref="AI2:AI1000" showDropDown="0" showInputMessage="0" showErrorMessage="0" allowBlank="1" type="list">
      <formula1>=List_Used_in_Thesis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6" customWidth="1" min="4" max="4"/>
    <col width="18" customWidth="1" min="5" max="5"/>
    <col width="34" customWidth="1" min="6" max="6"/>
    <col width="34" customWidth="1" min="7" max="7"/>
    <col width="22" customWidth="1" min="8" max="8"/>
    <col width="22" customWidth="1" min="9" max="9"/>
    <col width="28" customWidth="1" min="10" max="10"/>
    <col width="34" customWidth="1" min="11" max="11"/>
    <col width="12" customWidth="1" min="12" max="12"/>
    <col width="14" customWidth="1" min="13" max="13"/>
    <col width="30" customWidth="1" min="14" max="14"/>
  </cols>
  <sheetData>
    <row r="1">
      <c r="A1" s="7" t="inlineStr">
        <is>
          <t>Decision_ID</t>
        </is>
      </c>
      <c r="B1" s="7" t="inlineStr">
        <is>
          <t>Decision_Topic</t>
        </is>
      </c>
      <c r="C1" s="7" t="inlineStr">
        <is>
          <t>Stage</t>
        </is>
      </c>
      <c r="D1" s="7" t="inlineStr">
        <is>
          <t>Candidate_Options</t>
        </is>
      </c>
      <c r="E1" s="7" t="inlineStr">
        <is>
          <t>Evidence_Experiments</t>
        </is>
      </c>
      <c r="F1" s="7" t="inlineStr">
        <is>
          <t>Decision_Criteria</t>
        </is>
      </c>
      <c r="G1" s="7" t="inlineStr">
        <is>
          <t>Chosen_Option</t>
        </is>
      </c>
      <c r="H1" s="7" t="inlineStr">
        <is>
          <t>Why_Chosen</t>
        </is>
      </c>
      <c r="I1" s="7" t="inlineStr">
        <is>
          <t>Why_Not_Others</t>
        </is>
      </c>
      <c r="J1" s="7" t="inlineStr">
        <is>
          <t>Risks_or_Tradeoffs</t>
        </is>
      </c>
      <c r="K1" s="7" t="inlineStr">
        <is>
          <t>Grounding_Section_or_Source_Packet</t>
        </is>
      </c>
      <c r="L1" s="7" t="inlineStr">
        <is>
          <t>Date_Locked</t>
        </is>
      </c>
      <c r="M1" s="7" t="inlineStr">
        <is>
          <t>Freeze_Status</t>
        </is>
      </c>
      <c r="N1" s="7" t="inlineStr">
        <is>
          <t>Thesis_Use</t>
        </is>
      </c>
    </row>
    <row r="2">
      <c r="A2" s="8" t="inlineStr">
        <is>
          <t>D01</t>
        </is>
      </c>
      <c r="B2" s="8" t="inlineStr">
        <is>
          <t>Final target choice</t>
        </is>
      </c>
      <c r="C2" s="8" t="inlineStr">
        <is>
          <t>Stage 1 - Target lock</t>
        </is>
      </c>
      <c r="D2" s="8" t="inlineStr">
        <is>
          <t>fine emotion; coarse_affect; binary valence-like</t>
        </is>
      </c>
      <c r="E2" s="8" t="inlineStr">
        <is>
          <t>E01,E02,E03</t>
        </is>
      </c>
      <c r="F2" s="8" t="inlineStr">
        <is>
          <t>Construct validity + class balance + learnability under strict split</t>
        </is>
      </c>
      <c r="G2" s="8" t="inlineStr">
        <is>
          <t>To be locked after method-choice evidence review</t>
        </is>
      </c>
      <c r="H2" s="8" t="inlineStr"/>
      <c r="I2" s="8" t="inlineStr"/>
      <c r="J2" s="8" t="inlineStr">
        <is>
          <t>Tradeoff between construct validity and learnability</t>
        </is>
      </c>
      <c r="K2" s="8" t="inlineStr">
        <is>
          <t>To be linked after background/method revision</t>
        </is>
      </c>
      <c r="L2" s="8" t="inlineStr"/>
      <c r="M2" s="8" t="inlineStr">
        <is>
          <t>Open</t>
        </is>
      </c>
      <c r="N2" s="8" t="inlineStr">
        <is>
          <t>Chapter 3 method lock feeding Chapter 4 confirmatory analyses</t>
        </is>
      </c>
    </row>
    <row r="3">
      <c r="A3" s="3" t="inlineStr">
        <is>
          <t>D02</t>
        </is>
      </c>
      <c r="B3" s="3" t="inlineStr">
        <is>
          <t>Final split design</t>
        </is>
      </c>
      <c r="C3" s="3" t="inlineStr">
        <is>
          <t>Stage 2 - Split lock</t>
        </is>
      </c>
      <c r="D3" s="3" t="inlineStr">
        <is>
          <t>within_subject_loso_session; weaker alternatives for stress testing</t>
        </is>
      </c>
      <c r="E3" s="3" t="inlineStr">
        <is>
          <t>E04,E05</t>
        </is>
      </c>
      <c r="F3" s="3" t="inlineStr">
        <is>
          <t>Prefer strictest split matching claim while documenting weak-split inflation</t>
        </is>
      </c>
      <c r="G3" s="3" t="inlineStr">
        <is>
          <t>To be locked after split-strength evidence review</t>
        </is>
      </c>
      <c r="H3" s="3" t="inlineStr"/>
      <c r="I3" s="3" t="inlineStr"/>
      <c r="J3" s="3" t="inlineStr">
        <is>
          <t>Weak split inflation risk</t>
        </is>
      </c>
      <c r="K3" s="3" t="inlineStr">
        <is>
          <t>To be linked after method section split rationale update</t>
        </is>
      </c>
      <c r="L3" s="3" t="inlineStr"/>
      <c r="M3" s="3" t="inlineStr">
        <is>
          <t>Open</t>
        </is>
      </c>
      <c r="N3" s="3" t="inlineStr">
        <is>
          <t>Defines primary inference logic and leakage controls</t>
        </is>
      </c>
    </row>
    <row r="4">
      <c r="A4" s="8" t="inlineStr">
        <is>
          <t>D03</t>
        </is>
      </c>
      <c r="B4" s="8" t="inlineStr">
        <is>
          <t>Final model family</t>
        </is>
      </c>
      <c r="C4" s="8" t="inlineStr">
        <is>
          <t>Stage 3 - Model lock</t>
        </is>
      </c>
      <c r="D4" s="8" t="inlineStr">
        <is>
          <t>ridge; logreg; linearsvc</t>
        </is>
      </c>
      <c r="E4" s="8" t="inlineStr">
        <is>
          <t>E06</t>
        </is>
      </c>
      <c r="F4" s="8" t="inlineStr">
        <is>
          <t>Simplicity + robustness + comparable performance</t>
        </is>
      </c>
      <c r="G4" s="8" t="inlineStr">
        <is>
          <t>To be locked after model comparison</t>
        </is>
      </c>
      <c r="H4" s="8" t="inlineStr"/>
      <c r="I4" s="8" t="inlineStr"/>
      <c r="J4" s="8" t="inlineStr">
        <is>
          <t>Complexity vs stability tradeoff</t>
        </is>
      </c>
      <c r="K4" s="8" t="inlineStr">
        <is>
          <t>To be linked after model-choice subsection revision</t>
        </is>
      </c>
      <c r="L4" s="8" t="inlineStr"/>
      <c r="M4" s="8" t="inlineStr">
        <is>
          <t>Open</t>
        </is>
      </c>
      <c r="N4" s="8" t="inlineStr">
        <is>
          <t>Sets final confirmatory model family</t>
        </is>
      </c>
    </row>
    <row r="5">
      <c r="A5" s="3" t="inlineStr">
        <is>
          <t>D04</t>
        </is>
      </c>
      <c r="B5" s="3" t="inlineStr">
        <is>
          <t>Final weighting policy</t>
        </is>
      </c>
      <c r="C5" s="3" t="inlineStr">
        <is>
          <t>Stage 3 - Model lock</t>
        </is>
      </c>
      <c r="D5" s="3" t="inlineStr">
        <is>
          <t>No class weighting; balanced weighting</t>
        </is>
      </c>
      <c r="E5" s="3" t="inlineStr">
        <is>
          <t>E07</t>
        </is>
      </c>
      <c r="F5" s="3" t="inlineStr">
        <is>
          <t>Minority-class fairness gain without instability</t>
        </is>
      </c>
      <c r="G5" s="3" t="inlineStr">
        <is>
          <t>To be locked after weighting sensitivity</t>
        </is>
      </c>
      <c r="H5" s="3" t="inlineStr"/>
      <c r="I5" s="3" t="inlineStr"/>
      <c r="J5" s="3" t="inlineStr">
        <is>
          <t>Fairness-stability tension</t>
        </is>
      </c>
      <c r="K5" s="3" t="inlineStr">
        <is>
          <t>To be linked after class-imbalance discussion draft</t>
        </is>
      </c>
      <c r="L5" s="3" t="inlineStr"/>
      <c r="M5" s="3" t="inlineStr">
        <is>
          <t>Open</t>
        </is>
      </c>
      <c r="N5" s="3" t="inlineStr">
        <is>
          <t>Controls fairness assumptions in final pipeline</t>
        </is>
      </c>
    </row>
    <row r="6">
      <c r="A6" s="8" t="inlineStr">
        <is>
          <t>D05</t>
        </is>
      </c>
      <c r="B6" s="8" t="inlineStr">
        <is>
          <t>Final tuning policy</t>
        </is>
      </c>
      <c r="C6" s="8" t="inlineStr">
        <is>
          <t>Stage 3 - Model lock</t>
        </is>
      </c>
      <c r="D6" s="8" t="inlineStr">
        <is>
          <t>Fixed explicit settings; light nested tuning</t>
        </is>
      </c>
      <c r="E6" s="8" t="inlineStr">
        <is>
          <t>E08</t>
        </is>
      </c>
      <c r="F6" s="8" t="inlineStr">
        <is>
          <t>Keep fixed unless clear stable gain from tuning</t>
        </is>
      </c>
      <c r="G6" s="8" t="inlineStr">
        <is>
          <t>To be locked after tuning strategy review</t>
        </is>
      </c>
      <c r="H6" s="8" t="inlineStr"/>
      <c r="I6" s="8" t="inlineStr"/>
      <c r="J6" s="8" t="inlineStr">
        <is>
          <t>Overfitting and complexity risk with tuning</t>
        </is>
      </c>
      <c r="K6" s="8" t="inlineStr">
        <is>
          <t>To be linked after reproducibility subsection update</t>
        </is>
      </c>
      <c r="L6" s="8" t="inlineStr"/>
      <c r="M6" s="8" t="inlineStr">
        <is>
          <t>Open</t>
        </is>
      </c>
      <c r="N6" s="8" t="inlineStr">
        <is>
          <t>Determines model configuration policy</t>
        </is>
      </c>
    </row>
    <row r="7">
      <c r="A7" s="3" t="inlineStr">
        <is>
          <t>D06</t>
        </is>
      </c>
      <c r="B7" s="3" t="inlineStr">
        <is>
          <t>Final feature representation</t>
        </is>
      </c>
      <c r="C7" s="3" t="inlineStr">
        <is>
          <t>Stage 4 - Feature/preprocessing lock</t>
        </is>
      </c>
      <c r="D7" s="3" t="inlineStr">
        <is>
          <t>Whole-brain masked voxels; theory-justified ROI</t>
        </is>
      </c>
      <c r="E7" s="3" t="inlineStr">
        <is>
          <t>E09,E10</t>
        </is>
      </c>
      <c r="F7" s="3" t="inlineStr">
        <is>
          <t>Validity + stability + complexity tradeoff</t>
        </is>
      </c>
      <c r="G7" s="3" t="inlineStr">
        <is>
          <t>To be locked after feature-space evidence review</t>
        </is>
      </c>
      <c r="H7" s="3" t="inlineStr"/>
      <c r="I7" s="3" t="inlineStr"/>
      <c r="J7" s="3" t="inlineStr">
        <is>
          <t>Representation choice impacts validity and interpretability</t>
        </is>
      </c>
      <c r="K7" s="3" t="inlineStr">
        <is>
          <t>To be linked after feature-method section update</t>
        </is>
      </c>
      <c r="L7" s="3" t="inlineStr"/>
      <c r="M7" s="3" t="inlineStr">
        <is>
          <t>Open</t>
        </is>
      </c>
      <c r="N7" s="3" t="inlineStr">
        <is>
          <t>Locks final feature representation</t>
        </is>
      </c>
    </row>
    <row r="8">
      <c r="A8" s="8" t="inlineStr">
        <is>
          <t>D07</t>
        </is>
      </c>
      <c r="B8" s="8" t="inlineStr">
        <is>
          <t>Final scaling policy</t>
        </is>
      </c>
      <c r="C8" s="8" t="inlineStr">
        <is>
          <t>Stage 4 - Feature/preprocessing lock</t>
        </is>
      </c>
      <c r="D8" s="8" t="inlineStr">
        <is>
          <t>No scaling; standard/robust scaling (train-only)</t>
        </is>
      </c>
      <c r="E8" s="8" t="inlineStr">
        <is>
          <t>E11</t>
        </is>
      </c>
      <c r="F8" s="8" t="inlineStr">
        <is>
          <t>Train-only scaling with best stability and simplicity</t>
        </is>
      </c>
      <c r="G8" s="8" t="inlineStr">
        <is>
          <t>To be locked after scaling sensitivity</t>
        </is>
      </c>
      <c r="H8" s="8" t="inlineStr"/>
      <c r="I8" s="8" t="inlineStr"/>
      <c r="J8" s="8" t="inlineStr">
        <is>
          <t>Scaling can alter class boundaries</t>
        </is>
      </c>
      <c r="K8" s="8" t="inlineStr">
        <is>
          <t>To be linked after preprocessing subsection revision</t>
        </is>
      </c>
      <c r="L8" s="8" t="inlineStr"/>
      <c r="M8" s="8" t="inlineStr">
        <is>
          <t>Open</t>
        </is>
      </c>
      <c r="N8" s="8" t="inlineStr">
        <is>
          <t>Locks preprocessing policy</t>
        </is>
      </c>
    </row>
    <row r="9">
      <c r="A9" s="3" t="inlineStr">
        <is>
          <t>D08</t>
        </is>
      </c>
      <c r="B9" s="3" t="inlineStr">
        <is>
          <t>Use of external data</t>
        </is>
      </c>
      <c r="C9" s="3" t="inlineStr">
        <is>
          <t>Stage 7 - Exploratory extension</t>
        </is>
      </c>
      <c r="D9" s="3" t="inlineStr">
        <is>
          <t>No external data; external replication/portability</t>
        </is>
      </c>
      <c r="E9" s="3" t="inlineStr">
        <is>
          <t>E18,E19</t>
        </is>
      </c>
      <c r="F9" s="3" t="inlineStr">
        <is>
          <t>External work remains exploratory and non-core</t>
        </is>
      </c>
      <c r="G9" s="3" t="inlineStr">
        <is>
          <t>To be decided after confirmatory core completion</t>
        </is>
      </c>
      <c r="H9" s="3" t="inlineStr"/>
      <c r="I9" s="3" t="inlineStr"/>
      <c r="J9" s="3" t="inlineStr">
        <is>
          <t>Comparability and external validity limits</t>
        </is>
      </c>
      <c r="K9" s="3" t="inlineStr">
        <is>
          <t>To be linked after discussion/limitations revision</t>
        </is>
      </c>
      <c r="L9" s="3" t="inlineStr"/>
      <c r="M9" s="3" t="inlineStr">
        <is>
          <t>Open</t>
        </is>
      </c>
      <c r="N9" s="3" t="inlineStr">
        <is>
          <t>Controls exploratory external scope and appendix use</t>
        </is>
      </c>
    </row>
  </sheetData>
  <autoFilter ref="A1:N9"/>
  <conditionalFormatting sqref="M2:M200">
    <cfRule type="expression" priority="1" dxfId="0">
      <formula>$M2="Locked"</formula>
    </cfRule>
    <cfRule type="expression" priority="2" dxfId="1">
      <formula>$M2="Open"</formula>
    </cfRule>
  </conditionalFormatting>
  <dataValidations count="1">
    <dataValidation sqref="M2:M500" showDropDown="0" showInputMessage="0" showErrorMessage="0" allowBlank="0" type="list">
      <formula1>=List_Freeze_Status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8" customWidth="1" min="3" max="3"/>
    <col width="34" customWidth="1" min="4" max="4"/>
    <col width="14" customWidth="1" min="5" max="5"/>
    <col width="18" customWidth="1" min="6" max="6"/>
    <col width="12" customWidth="1" min="7" max="7"/>
    <col width="20" customWidth="1" min="8" max="8"/>
    <col width="18" customWidth="1" min="9" max="9"/>
    <col width="22" customWidth="1" min="10" max="10"/>
    <col width="32" customWidth="1" min="11" max="11"/>
    <col width="20" customWidth="1" min="12" max="12"/>
  </cols>
  <sheetData>
    <row r="1">
      <c r="A1" s="7" t="inlineStr">
        <is>
          <t>Experiment_ID</t>
        </is>
      </c>
      <c r="B1" s="7" t="inlineStr">
        <is>
          <t>Short_Title</t>
        </is>
      </c>
      <c r="C1" s="7" t="inlineStr">
        <is>
          <t>Final_Pipeline_Version</t>
        </is>
      </c>
      <c r="D1" s="7" t="inlineStr">
        <is>
          <t>Claim_Supported</t>
        </is>
      </c>
      <c r="E1" s="7" t="inlineStr">
        <is>
          <t>Status</t>
        </is>
      </c>
      <c r="F1" s="7" t="inlineStr">
        <is>
          <t>Eligible_to_Run</t>
        </is>
      </c>
      <c r="G1" s="7" t="inlineStr">
        <is>
          <t>Completed</t>
        </is>
      </c>
      <c r="H1" s="7" t="inlineStr">
        <is>
          <t>Required_for_Main_Claim</t>
        </is>
      </c>
      <c r="I1" s="7" t="inlineStr">
        <is>
          <t>Ready_for_Chapter_4</t>
        </is>
      </c>
      <c r="J1" s="7" t="inlineStr">
        <is>
          <t>Confirmatory_Eligible</t>
        </is>
      </c>
      <c r="K1" s="7" t="inlineStr">
        <is>
          <t>Main_Result_Summary</t>
        </is>
      </c>
      <c r="L1" s="7" t="inlineStr">
        <is>
          <t>Robustness_Status</t>
        </is>
      </c>
    </row>
    <row r="2">
      <c r="A2" s="8" t="inlineStr">
        <is>
          <t>E12</t>
        </is>
      </c>
      <c r="B2" s="8" t="inlineStr">
        <is>
          <t>Permutation test experiment</t>
        </is>
      </c>
      <c r="C2" s="8" t="inlineStr">
        <is>
          <t>To be fixed after freeze lock</t>
        </is>
      </c>
      <c r="D2" s="8" t="inlineStr">
        <is>
          <t>Chance-distinguishability support</t>
        </is>
      </c>
      <c r="E2" s="8">
        <f>IFERROR(INDEX(Master_Experiments!$AA:$AA,MATCH($A2,Master_Experiments!$A:$A,0)),"Planned")</f>
        <v/>
      </c>
      <c r="F2" s="8">
        <f>IF(AND($J2="YES",IFERROR(INDEX(Master_Experiments!$AF:$AF,MATCH($A2,Master_Experiments!$A:$A,0)),"INCOMPLETE")="READY"),"YES","NO")</f>
        <v/>
      </c>
      <c r="G2" s="8">
        <f>IF(IFERROR(INDEX(Master_Experiments!$AA:$AA,MATCH($A2,Master_Experiments!$A:$A,0)),"Planned")="Completed","YES","NO")</f>
        <v/>
      </c>
      <c r="H2" s="8" t="inlineStr">
        <is>
          <t>YES</t>
        </is>
      </c>
      <c r="I2" s="8" t="inlineStr">
        <is>
          <t>NO</t>
        </is>
      </c>
      <c r="J2" s="8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  <v/>
      </c>
      <c r="K2" s="8">
        <f>IFERROR(INDEX(Master_Experiments!$AC:$AC,MATCH($A2,Master_Experiments!$A:$A,0)),"")</f>
        <v/>
      </c>
      <c r="L2" s="8" t="inlineStr">
        <is>
          <t>Planned</t>
        </is>
      </c>
    </row>
    <row r="3">
      <c r="A3" s="3" t="inlineStr">
        <is>
          <t>E13</t>
        </is>
      </c>
      <c r="B3" s="3" t="inlineStr">
        <is>
          <t>Trivial baseline experiment</t>
        </is>
      </c>
      <c r="C3" s="3" t="inlineStr">
        <is>
          <t>To be fixed after freeze lock</t>
        </is>
      </c>
      <c r="D3" s="3" t="inlineStr">
        <is>
          <t>Non-trivial predictive value support</t>
        </is>
      </c>
      <c r="E3" s="3">
        <f>IFERROR(INDEX(Master_Experiments!$AA:$AA,MATCH($A3,Master_Experiments!$A:$A,0)),"Planned")</f>
        <v/>
      </c>
      <c r="F3" s="3">
        <f>IF(AND($J3="YES",IFERROR(INDEX(Master_Experiments!$AF:$AF,MATCH($A3,Master_Experiments!$A:$A,0)),"INCOMPLETE")="READY"),"YES","NO")</f>
        <v/>
      </c>
      <c r="G3" s="3">
        <f>IF(IFERROR(INDEX(Master_Experiments!$AA:$AA,MATCH($A3,Master_Experiments!$A:$A,0)),"Planned")="Completed","YES","NO")</f>
        <v/>
      </c>
      <c r="H3" s="3" t="inlineStr">
        <is>
          <t>YES</t>
        </is>
      </c>
      <c r="I3" s="3" t="inlineStr">
        <is>
          <t>NO</t>
        </is>
      </c>
      <c r="J3" s="3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  <v/>
      </c>
      <c r="K3" s="3">
        <f>IFERROR(INDEX(Master_Experiments!$AC:$AC,MATCH($A3,Master_Experiments!$A:$A,0)),"")</f>
        <v/>
      </c>
      <c r="L3" s="3" t="inlineStr">
        <is>
          <t>Planned</t>
        </is>
      </c>
    </row>
    <row r="4">
      <c r="A4" s="8" t="inlineStr">
        <is>
          <t>E14</t>
        </is>
      </c>
      <c r="B4" s="8" t="inlineStr">
        <is>
          <t>Stability of explanation experiment</t>
        </is>
      </c>
      <c r="C4" s="8" t="inlineStr">
        <is>
          <t>To be fixed after freeze lock</t>
        </is>
      </c>
      <c r="D4" s="8" t="inlineStr">
        <is>
          <t>Model-behavior robustness support</t>
        </is>
      </c>
      <c r="E4" s="8">
        <f>IFERROR(INDEX(Master_Experiments!$AA:$AA,MATCH($A4,Master_Experiments!$A:$A,0)),"Planned")</f>
        <v/>
      </c>
      <c r="F4" s="8">
        <f>IF(AND($J4="YES",IFERROR(INDEX(Master_Experiments!$AF:$AF,MATCH($A4,Master_Experiments!$A:$A,0)),"INCOMPLETE")="READY"),"YES","NO")</f>
        <v/>
      </c>
      <c r="G4" s="8">
        <f>IF(IFERROR(INDEX(Master_Experiments!$AA:$AA,MATCH($A4,Master_Experiments!$A:$A,0)),"Planned")="Completed","YES","NO")</f>
        <v/>
      </c>
      <c r="H4" s="8" t="inlineStr">
        <is>
          <t>YES</t>
        </is>
      </c>
      <c r="I4" s="8" t="inlineStr">
        <is>
          <t>NO</t>
        </is>
      </c>
      <c r="J4" s="8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  <v/>
      </c>
      <c r="K4" s="8">
        <f>IFERROR(INDEX(Master_Experiments!$AC:$AC,MATCH($A4,Master_Experiments!$A:$A,0)),"")</f>
        <v/>
      </c>
      <c r="L4" s="8" t="inlineStr">
        <is>
          <t>Planned</t>
        </is>
      </c>
    </row>
    <row r="5">
      <c r="A5" s="3" t="inlineStr">
        <is>
          <t>E16</t>
        </is>
      </c>
      <c r="B5" s="3" t="inlineStr">
        <is>
          <t>Final within-person confirmatory analysis</t>
        </is>
      </c>
      <c r="C5" s="3" t="inlineStr">
        <is>
          <t>To be fixed after freeze lock</t>
        </is>
      </c>
      <c r="D5" s="3" t="inlineStr">
        <is>
          <t>Primary within-person claim</t>
        </is>
      </c>
      <c r="E5" s="3">
        <f>IFERROR(INDEX(Master_Experiments!$AA:$AA,MATCH($A5,Master_Experiments!$A:$A,0)),"Planned")</f>
        <v/>
      </c>
      <c r="F5" s="3">
        <f>IF(AND($J5="YES",IFERROR(INDEX(Master_Experiments!$AF:$AF,MATCH($A5,Master_Experiments!$A:$A,0)),"INCOMPLETE")="READY"),"YES","NO")</f>
        <v/>
      </c>
      <c r="G5" s="3">
        <f>IF(IFERROR(INDEX(Master_Experiments!$AA:$AA,MATCH($A5,Master_Experiments!$A:$A,0)),"Planned")="Completed","YES","NO")</f>
        <v/>
      </c>
      <c r="H5" s="3" t="inlineStr">
        <is>
          <t>YES</t>
        </is>
      </c>
      <c r="I5" s="3" t="inlineStr">
        <is>
          <t>NO</t>
        </is>
      </c>
      <c r="J5" s="3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  <v/>
      </c>
      <c r="K5" s="3">
        <f>IFERROR(INDEX(Master_Experiments!$AC:$AC,MATCH($A5,Master_Experiments!$A:$A,0)),"")</f>
        <v/>
      </c>
      <c r="L5" s="3" t="inlineStr">
        <is>
          <t>Planned</t>
        </is>
      </c>
    </row>
    <row r="6">
      <c r="A6" s="8" t="inlineStr">
        <is>
          <t>E17</t>
        </is>
      </c>
      <c r="B6" s="8" t="inlineStr">
        <is>
          <t>Final cross-person transfer analysis</t>
        </is>
      </c>
      <c r="C6" s="8" t="inlineStr">
        <is>
          <t>To be fixed after freeze lock</t>
        </is>
      </c>
      <c r="D6" s="8" t="inlineStr">
        <is>
          <t>Secondary transfer claim</t>
        </is>
      </c>
      <c r="E6" s="8">
        <f>IFERROR(INDEX(Master_Experiments!$AA:$AA,MATCH($A6,Master_Experiments!$A:$A,0)),"Planned")</f>
        <v/>
      </c>
      <c r="F6" s="8">
        <f>IF(AND($J6="YES",IFERROR(INDEX(Master_Experiments!$AF:$AF,MATCH($A6,Master_Experiments!$A:$A,0)),"INCOMPLETE")="READY"),"YES","NO")</f>
        <v/>
      </c>
      <c r="G6" s="8">
        <f>IF(IFERROR(INDEX(Master_Experiments!$AA:$AA,MATCH($A6,Master_Experiments!$A:$A,0)),"Planned")="Completed","YES","NO")</f>
        <v/>
      </c>
      <c r="H6" s="8" t="inlineStr">
        <is>
          <t>YES</t>
        </is>
      </c>
      <c r="I6" s="8" t="inlineStr">
        <is>
          <t>NO</t>
        </is>
      </c>
      <c r="J6" s="8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  <v/>
      </c>
      <c r="K6" s="8">
        <f>IFERROR(INDEX(Master_Experiments!$AC:$AC,MATCH($A6,Master_Experiments!$A:$A,0)),"")</f>
        <v/>
      </c>
      <c r="L6" s="8" t="inlineStr">
        <is>
          <t>Planned</t>
        </is>
      </c>
    </row>
  </sheetData>
  <autoFilter ref="A1:L6"/>
  <conditionalFormatting sqref="J2:J200">
    <cfRule type="expression" priority="1" dxfId="0">
      <formula>$J2="YES"</formula>
    </cfRule>
  </conditionalFormatting>
  <conditionalFormatting sqref="F2:F200">
    <cfRule type="expression" priority="2" dxfId="0">
      <formula>$F2="YES"</formula>
    </cfRule>
  </conditionalFormatting>
  <conditionalFormatting sqref="G2:G200">
    <cfRule type="expression" priority="3" dxfId="0">
      <formula>$G2="YES"</formula>
    </cfRule>
  </conditionalFormatting>
  <conditionalFormatting sqref="I2:I200">
    <cfRule type="expression" priority="4" dxfId="0">
      <formula>$I2="YES"</formula>
    </cfRule>
  </conditionalFormatting>
  <dataValidations count="4">
    <dataValidation sqref="E2:E500" showDropDown="0" showInputMessage="0" showErrorMessage="0" allowBlank="1" type="list">
      <formula1>=List_Status</formula1>
    </dataValidation>
    <dataValidation sqref="H2:H500" showDropDown="0" showInputMessage="0" showErrorMessage="0" allowBlank="1" type="list">
      <formula1>=List_Required_for_Main_Claim</formula1>
    </dataValidation>
    <dataValidation sqref="I2:I500" showDropDown="0" showInputMessage="0" showErrorMessage="0" allowBlank="1" type="list">
      <formula1>=List_Ready_for_Chapter_4</formula1>
    </dataValidation>
    <dataValidation sqref="L2:L500" showDropDown="0" showInputMessage="0" showErrorMessage="0" allowBlank="1" type="list">
      <formula1>=List_Status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30" customWidth="1" min="4" max="4"/>
    <col width="14" customWidth="1" min="5" max="5"/>
    <col width="44" customWidth="1" min="6" max="6"/>
    <col width="34" customWidth="1" min="7" max="7"/>
    <col width="30" customWidth="1" min="8" max="8"/>
  </cols>
  <sheetData>
    <row r="1">
      <c r="A1" s="7" t="inlineStr">
        <is>
          <t>Experiment_ID</t>
        </is>
      </c>
      <c r="B1" s="7" t="inlineStr">
        <is>
          <t>Chapter</t>
        </is>
      </c>
      <c r="C1" s="7" t="inlineStr">
        <is>
          <t>Section</t>
        </is>
      </c>
      <c r="D1" s="7" t="inlineStr">
        <is>
          <t>Purpose_in_Thesis</t>
        </is>
      </c>
      <c r="E1" s="7" t="inlineStr">
        <is>
          <t>Main_or_Supporting</t>
        </is>
      </c>
      <c r="F1" s="7" t="inlineStr">
        <is>
          <t>Method_Choice_or_Method_Application_or_Discussion</t>
        </is>
      </c>
      <c r="G1" s="7" t="inlineStr">
        <is>
          <t>What_Claim_or_Decision_It_Supports</t>
        </is>
      </c>
      <c r="H1" s="7" t="inlineStr">
        <is>
          <t>Notes_for_Writing</t>
        </is>
      </c>
    </row>
    <row r="2">
      <c r="A2" s="8" t="inlineStr">
        <is>
          <t>E01</t>
        </is>
      </c>
      <c r="B2" s="8" t="inlineStr">
        <is>
          <t>Chapter 3</t>
        </is>
      </c>
      <c r="C2" s="8" t="inlineStr">
        <is>
          <t>3.3 Target definition</t>
        </is>
      </c>
      <c r="D2" s="8" t="inlineStr">
        <is>
          <t>Target granularity method choice</t>
        </is>
      </c>
      <c r="E2" s="8" t="inlineStr">
        <is>
          <t>Supporting</t>
        </is>
      </c>
      <c r="F2" s="8" t="inlineStr">
        <is>
          <t>Method choice</t>
        </is>
      </c>
      <c r="G2" s="8" t="inlineStr">
        <is>
          <t>Locks target definition</t>
        </is>
      </c>
      <c r="H2" s="8" t="inlineStr">
        <is>
          <t>Reference Decision D01</t>
        </is>
      </c>
    </row>
    <row r="3">
      <c r="A3" s="3" t="inlineStr">
        <is>
          <t>E02</t>
        </is>
      </c>
      <c r="B3" s="3" t="inlineStr">
        <is>
          <t>Chapter 3</t>
        </is>
      </c>
      <c r="C3" s="3" t="inlineStr">
        <is>
          <t>3.3 Task strategy</t>
        </is>
      </c>
      <c r="D3" s="3" t="inlineStr">
        <is>
          <t>Task pooling method choice</t>
        </is>
      </c>
      <c r="E3" s="3" t="inlineStr">
        <is>
          <t>Supporting</t>
        </is>
      </c>
      <c r="F3" s="3" t="inlineStr">
        <is>
          <t>Method choice</t>
        </is>
      </c>
      <c r="G3" s="3" t="inlineStr">
        <is>
          <t>Task pooling policy</t>
        </is>
      </c>
      <c r="H3" s="3" t="inlineStr"/>
    </row>
    <row r="4">
      <c r="A4" s="8" t="inlineStr">
        <is>
          <t>E03</t>
        </is>
      </c>
      <c r="B4" s="8" t="inlineStr">
        <is>
          <t>Chapter 3</t>
        </is>
      </c>
      <c r="C4" s="8" t="inlineStr">
        <is>
          <t>3.3 Modality strategy</t>
        </is>
      </c>
      <c r="D4" s="8" t="inlineStr">
        <is>
          <t>Modality pooling method choice</t>
        </is>
      </c>
      <c r="E4" s="8" t="inlineStr">
        <is>
          <t>Supporting</t>
        </is>
      </c>
      <c r="F4" s="8" t="inlineStr">
        <is>
          <t>Method choice</t>
        </is>
      </c>
      <c r="G4" s="8" t="inlineStr">
        <is>
          <t>Modality pooling policy</t>
        </is>
      </c>
      <c r="H4" s="8" t="inlineStr"/>
    </row>
    <row r="5">
      <c r="A5" s="3" t="inlineStr">
        <is>
          <t>E04</t>
        </is>
      </c>
      <c r="B5" s="3" t="inlineStr">
        <is>
          <t>Chapter 3</t>
        </is>
      </c>
      <c r="C5" s="3" t="inlineStr">
        <is>
          <t>3.4 Split design</t>
        </is>
      </c>
      <c r="D5" s="3" t="inlineStr">
        <is>
          <t>Split-strength stress evidence</t>
        </is>
      </c>
      <c r="E5" s="3" t="inlineStr">
        <is>
          <t>Supporting</t>
        </is>
      </c>
      <c r="F5" s="3" t="inlineStr">
        <is>
          <t>Method choice</t>
        </is>
      </c>
      <c r="G5" s="3" t="inlineStr">
        <is>
          <t>Justifies strict split</t>
        </is>
      </c>
      <c r="H5" s="3" t="inlineStr"/>
    </row>
    <row r="6">
      <c r="A6" s="8" t="inlineStr">
        <is>
          <t>E05</t>
        </is>
      </c>
      <c r="B6" s="8" t="inlineStr">
        <is>
          <t>Chapter 3</t>
        </is>
      </c>
      <c r="C6" s="8" t="inlineStr">
        <is>
          <t>3.4 Transfer protocol</t>
        </is>
      </c>
      <c r="D6" s="8" t="inlineStr">
        <is>
          <t>Cross-person framing</t>
        </is>
      </c>
      <c r="E6" s="8" t="inlineStr">
        <is>
          <t>Supporting</t>
        </is>
      </c>
      <c r="F6" s="8" t="inlineStr">
        <is>
          <t>Method choice</t>
        </is>
      </c>
      <c r="G6" s="8" t="inlineStr">
        <is>
          <t>Directional transfer design</t>
        </is>
      </c>
      <c r="H6" s="8" t="inlineStr"/>
    </row>
    <row r="7">
      <c r="A7" s="3" t="inlineStr">
        <is>
          <t>E06</t>
        </is>
      </c>
      <c r="B7" s="3" t="inlineStr">
        <is>
          <t>Chapter 3</t>
        </is>
      </c>
      <c r="C7" s="3" t="inlineStr">
        <is>
          <t>3.5 Model family</t>
        </is>
      </c>
      <c r="D7" s="3" t="inlineStr">
        <is>
          <t>Model family selection</t>
        </is>
      </c>
      <c r="E7" s="3" t="inlineStr">
        <is>
          <t>Supporting</t>
        </is>
      </c>
      <c r="F7" s="3" t="inlineStr">
        <is>
          <t>Method choice</t>
        </is>
      </c>
      <c r="G7" s="3" t="inlineStr">
        <is>
          <t>Final model family lock</t>
        </is>
      </c>
      <c r="H7" s="3" t="inlineStr"/>
    </row>
    <row r="8">
      <c r="A8" s="8" t="inlineStr">
        <is>
          <t>E07</t>
        </is>
      </c>
      <c r="B8" s="8" t="inlineStr">
        <is>
          <t>Chapter 3</t>
        </is>
      </c>
      <c r="C8" s="8" t="inlineStr">
        <is>
          <t>3.5 Weighting policy</t>
        </is>
      </c>
      <c r="D8" s="8" t="inlineStr">
        <is>
          <t>Class weighting decision</t>
        </is>
      </c>
      <c r="E8" s="8" t="inlineStr">
        <is>
          <t>Supporting</t>
        </is>
      </c>
      <c r="F8" s="8" t="inlineStr">
        <is>
          <t>Method choice</t>
        </is>
      </c>
      <c r="G8" s="8" t="inlineStr">
        <is>
          <t>Weighting policy lock</t>
        </is>
      </c>
      <c r="H8" s="8" t="inlineStr"/>
    </row>
    <row r="9">
      <c r="A9" s="3" t="inlineStr">
        <is>
          <t>E08</t>
        </is>
      </c>
      <c r="B9" s="3" t="inlineStr">
        <is>
          <t>Chapter 3</t>
        </is>
      </c>
      <c r="C9" s="3" t="inlineStr">
        <is>
          <t>3.5 Tuning policy</t>
        </is>
      </c>
      <c r="D9" s="3" t="inlineStr">
        <is>
          <t>Hyperparameter policy</t>
        </is>
      </c>
      <c r="E9" s="3" t="inlineStr">
        <is>
          <t>Supporting</t>
        </is>
      </c>
      <c r="F9" s="3" t="inlineStr">
        <is>
          <t>Method choice</t>
        </is>
      </c>
      <c r="G9" s="3" t="inlineStr">
        <is>
          <t>Fixed vs tuning decision</t>
        </is>
      </c>
      <c r="H9" s="3" t="inlineStr"/>
    </row>
    <row r="10">
      <c r="A10" s="8" t="inlineStr">
        <is>
          <t>E09</t>
        </is>
      </c>
      <c r="B10" s="8" t="inlineStr">
        <is>
          <t>Chapter 3</t>
        </is>
      </c>
      <c r="C10" s="8" t="inlineStr">
        <is>
          <t>3.2 Feature space</t>
        </is>
      </c>
      <c r="D10" s="8" t="inlineStr">
        <is>
          <t>Whole-brain vs ROI decision</t>
        </is>
      </c>
      <c r="E10" s="8" t="inlineStr">
        <is>
          <t>Supporting</t>
        </is>
      </c>
      <c r="F10" s="8" t="inlineStr">
        <is>
          <t>Method choice</t>
        </is>
      </c>
      <c r="G10" s="8" t="inlineStr">
        <is>
          <t>Feature representation lock</t>
        </is>
      </c>
      <c r="H10" s="8" t="inlineStr"/>
    </row>
    <row r="11">
      <c r="A11" s="3" t="inlineStr">
        <is>
          <t>E10</t>
        </is>
      </c>
      <c r="B11" s="3" t="inlineStr">
        <is>
          <t>Chapter 3</t>
        </is>
      </c>
      <c r="C11" s="3" t="inlineStr">
        <is>
          <t>3.2 Dimensionality</t>
        </is>
      </c>
      <c r="D11" s="3" t="inlineStr">
        <is>
          <t>Reduction strategy decision</t>
        </is>
      </c>
      <c r="E11" s="3" t="inlineStr">
        <is>
          <t>Supporting</t>
        </is>
      </c>
      <c r="F11" s="3" t="inlineStr">
        <is>
          <t>Method choice</t>
        </is>
      </c>
      <c r="G11" s="3" t="inlineStr">
        <is>
          <t>Complexity/stability tradeoff</t>
        </is>
      </c>
      <c r="H11" s="3" t="inlineStr"/>
    </row>
    <row r="12">
      <c r="A12" s="8" t="inlineStr">
        <is>
          <t>E11</t>
        </is>
      </c>
      <c r="B12" s="8" t="inlineStr">
        <is>
          <t>Chapter 3</t>
        </is>
      </c>
      <c r="C12" s="8" t="inlineStr">
        <is>
          <t>3.2 Scaling</t>
        </is>
      </c>
      <c r="D12" s="8" t="inlineStr">
        <is>
          <t>Scaling sensitivity decision</t>
        </is>
      </c>
      <c r="E12" s="8" t="inlineStr">
        <is>
          <t>Supporting</t>
        </is>
      </c>
      <c r="F12" s="8" t="inlineStr">
        <is>
          <t>Method choice</t>
        </is>
      </c>
      <c r="G12" s="8" t="inlineStr">
        <is>
          <t>Scaling policy lock</t>
        </is>
      </c>
      <c r="H12" s="8" t="inlineStr"/>
    </row>
    <row r="13">
      <c r="A13" s="3" t="inlineStr">
        <is>
          <t>E12</t>
        </is>
      </c>
      <c r="B13" s="3" t="inlineStr">
        <is>
          <t>Chapter 4</t>
        </is>
      </c>
      <c r="C13" s="3" t="inlineStr">
        <is>
          <t>4.3 Robustness</t>
        </is>
      </c>
      <c r="D13" s="3" t="inlineStr">
        <is>
          <t>Permutation support</t>
        </is>
      </c>
      <c r="E13" s="3" t="inlineStr">
        <is>
          <t>Supporting</t>
        </is>
      </c>
      <c r="F13" s="3" t="inlineStr">
        <is>
          <t>Method application</t>
        </is>
      </c>
      <c r="G13" s="3" t="inlineStr">
        <is>
          <t>Beyond-chance support</t>
        </is>
      </c>
      <c r="H13" s="3" t="inlineStr"/>
    </row>
    <row r="14">
      <c r="A14" s="8" t="inlineStr">
        <is>
          <t>E13</t>
        </is>
      </c>
      <c r="B14" s="8" t="inlineStr">
        <is>
          <t>Chapter 4</t>
        </is>
      </c>
      <c r="C14" s="8" t="inlineStr">
        <is>
          <t>4.3 Robustness</t>
        </is>
      </c>
      <c r="D14" s="8" t="inlineStr">
        <is>
          <t>Trivial baseline support</t>
        </is>
      </c>
      <c r="E14" s="8" t="inlineStr">
        <is>
          <t>Supporting</t>
        </is>
      </c>
      <c r="F14" s="8" t="inlineStr">
        <is>
          <t>Method application</t>
        </is>
      </c>
      <c r="G14" s="8" t="inlineStr">
        <is>
          <t>Non-trivial value support</t>
        </is>
      </c>
      <c r="H14" s="8" t="inlineStr"/>
    </row>
    <row r="15">
      <c r="A15" s="3" t="inlineStr">
        <is>
          <t>E14</t>
        </is>
      </c>
      <c r="B15" s="3" t="inlineStr">
        <is>
          <t>Chapter 4</t>
        </is>
      </c>
      <c r="C15" s="3" t="inlineStr">
        <is>
          <t>4.3 Robustness</t>
        </is>
      </c>
      <c r="D15" s="3" t="inlineStr">
        <is>
          <t>Interpretability stability support</t>
        </is>
      </c>
      <c r="E15" s="3" t="inlineStr">
        <is>
          <t>Supporting</t>
        </is>
      </c>
      <c r="F15" s="3" t="inlineStr">
        <is>
          <t>Method application</t>
        </is>
      </c>
      <c r="G15" s="3" t="inlineStr">
        <is>
          <t>Model-behavior robustness</t>
        </is>
      </c>
      <c r="H15" s="3" t="inlineStr">
        <is>
          <t>No localization claim</t>
        </is>
      </c>
    </row>
    <row r="16">
      <c r="A16" s="8" t="inlineStr">
        <is>
          <t>E15</t>
        </is>
      </c>
      <c r="B16" s="8" t="inlineStr">
        <is>
          <t>Chapter 5</t>
        </is>
      </c>
      <c r="C16" s="8" t="inlineStr">
        <is>
          <t>5.2 Limitations</t>
        </is>
      </c>
      <c r="D16" s="8" t="inlineStr">
        <is>
          <t>Subset sensitivity discussion</t>
        </is>
      </c>
      <c r="E16" s="8" t="inlineStr">
        <is>
          <t>Supporting</t>
        </is>
      </c>
      <c r="F16" s="8" t="inlineStr">
        <is>
          <t>Discussion</t>
        </is>
      </c>
      <c r="G16" s="8" t="inlineStr">
        <is>
          <t>Sensitivity/limitations support</t>
        </is>
      </c>
      <c r="H16" s="8" t="inlineStr"/>
    </row>
    <row r="17">
      <c r="A17" s="3" t="inlineStr">
        <is>
          <t>E16</t>
        </is>
      </c>
      <c r="B17" s="3" t="inlineStr">
        <is>
          <t>Chapter 4</t>
        </is>
      </c>
      <c r="C17" s="3" t="inlineStr">
        <is>
          <t>4.1 Main results</t>
        </is>
      </c>
      <c r="D17" s="3" t="inlineStr">
        <is>
          <t>Within-person confirmatory evidence</t>
        </is>
      </c>
      <c r="E17" s="3" t="inlineStr">
        <is>
          <t>Main</t>
        </is>
      </c>
      <c r="F17" s="3" t="inlineStr">
        <is>
          <t>Method application</t>
        </is>
      </c>
      <c r="G17" s="3" t="inlineStr">
        <is>
          <t>Primary thesis claim</t>
        </is>
      </c>
      <c r="H17" s="3" t="inlineStr"/>
    </row>
    <row r="18">
      <c r="A18" s="8" t="inlineStr">
        <is>
          <t>E17</t>
        </is>
      </c>
      <c r="B18" s="8" t="inlineStr">
        <is>
          <t>Chapter 4</t>
        </is>
      </c>
      <c r="C18" s="8" t="inlineStr">
        <is>
          <t>4.2 Transfer results</t>
        </is>
      </c>
      <c r="D18" s="8" t="inlineStr">
        <is>
          <t>Cross-person transfer evidence</t>
        </is>
      </c>
      <c r="E18" s="8" t="inlineStr">
        <is>
          <t>Main</t>
        </is>
      </c>
      <c r="F18" s="8" t="inlineStr">
        <is>
          <t>Method application</t>
        </is>
      </c>
      <c r="G18" s="8" t="inlineStr">
        <is>
          <t>Secondary transfer claim</t>
        </is>
      </c>
      <c r="H18" s="8" t="inlineStr"/>
    </row>
    <row r="19">
      <c r="A19" s="3" t="inlineStr">
        <is>
          <t>E18</t>
        </is>
      </c>
      <c r="B19" s="3" t="inlineStr">
        <is>
          <t>Appendix</t>
        </is>
      </c>
      <c r="C19" s="3" t="inlineStr">
        <is>
          <t>A. External exploratory</t>
        </is>
      </c>
      <c r="D19" s="3" t="inlineStr">
        <is>
          <t>External split replication</t>
        </is>
      </c>
      <c r="E19" s="3" t="inlineStr">
        <is>
          <t>Supporting</t>
        </is>
      </c>
      <c r="F19" s="3" t="inlineStr">
        <is>
          <t>Discussion</t>
        </is>
      </c>
      <c r="G19" s="3" t="inlineStr">
        <is>
          <t>Exploratory external consistency</t>
        </is>
      </c>
      <c r="H19" s="3" t="inlineStr"/>
    </row>
    <row r="20">
      <c r="A20" s="8" t="inlineStr">
        <is>
          <t>E19</t>
        </is>
      </c>
      <c r="B20" s="8" t="inlineStr">
        <is>
          <t>Appendix</t>
        </is>
      </c>
      <c r="C20" s="8" t="inlineStr">
        <is>
          <t>A. External exploratory</t>
        </is>
      </c>
      <c r="D20" s="8" t="inlineStr">
        <is>
          <t>External model portability</t>
        </is>
      </c>
      <c r="E20" s="8" t="inlineStr">
        <is>
          <t>Supporting</t>
        </is>
      </c>
      <c r="F20" s="8" t="inlineStr">
        <is>
          <t>Discussion</t>
        </is>
      </c>
      <c r="G20" s="8" t="inlineStr">
        <is>
          <t>Exploratory portability</t>
        </is>
      </c>
      <c r="H20" s="8" t="inlineStr"/>
    </row>
  </sheetData>
  <autoFilter ref="A1:H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4" customWidth="1" min="55" max="55"/>
    <col width="84" customWidth="1" min="56" max="56"/>
  </cols>
  <sheetData>
    <row r="1">
      <c r="A1" s="14" t="inlineStr">
        <is>
          <t>Controlled vocabularies (drives dropdown validation)</t>
        </is>
      </c>
      <c r="BC1" s="14" t="inlineStr">
        <is>
          <t>Term definitions</t>
        </is>
      </c>
    </row>
    <row r="2">
      <c r="A2" s="15" t="inlineStr">
        <is>
          <t>Category</t>
        </is>
      </c>
      <c r="B2" s="15" t="inlineStr">
        <is>
          <t>Evidential_Role</t>
        </is>
      </c>
      <c r="C2" s="15" t="inlineStr">
        <is>
          <t>Stage</t>
        </is>
      </c>
      <c r="D2" s="15" t="inlineStr">
        <is>
          <t>Priority</t>
        </is>
      </c>
      <c r="E2" s="15" t="inlineStr">
        <is>
          <t>Status</t>
        </is>
      </c>
      <c r="F2" s="15" t="inlineStr">
        <is>
          <t>Reporting_Destination</t>
        </is>
      </c>
      <c r="G2" s="15" t="inlineStr">
        <is>
          <t>Reviewed</t>
        </is>
      </c>
      <c r="H2" s="15" t="inlineStr">
        <is>
          <t>Used_in_Thesis</t>
        </is>
      </c>
      <c r="I2" s="15" t="inlineStr">
        <is>
          <t>Freeze_Status</t>
        </is>
      </c>
      <c r="J2" s="15" t="inlineStr">
        <is>
          <t>Run_Type</t>
        </is>
      </c>
      <c r="K2" s="15" t="inlineStr">
        <is>
          <t>Affects_Frozen_Pipeline</t>
        </is>
      </c>
      <c r="L2" s="15" t="inlineStr">
        <is>
          <t>Eligible_for_Method_Decision</t>
        </is>
      </c>
      <c r="M2" s="15" t="inlineStr">
        <is>
          <t>Claim_Type</t>
        </is>
      </c>
      <c r="N2" s="15" t="inlineStr">
        <is>
          <t>Evidence_Status</t>
        </is>
      </c>
      <c r="O2" s="15" t="inlineStr">
        <is>
          <t>Writing_Location</t>
        </is>
      </c>
      <c r="P2" s="15" t="inlineStr">
        <is>
          <t>Human_Verification_Status</t>
        </is>
      </c>
      <c r="Q2" s="15" t="inlineStr">
        <is>
          <t>Ethics_Status</t>
        </is>
      </c>
      <c r="R2" s="15" t="inlineStr">
        <is>
          <t>Ethics_Topic</t>
        </is>
      </c>
      <c r="S2" s="15" t="inlineStr">
        <is>
          <t>Required_for_Main_Claim</t>
        </is>
      </c>
      <c r="T2" s="15" t="inlineStr">
        <is>
          <t>Ready_for_Chapter_4</t>
        </is>
      </c>
      <c r="U2" s="15" t="inlineStr">
        <is>
          <t>YesNo</t>
        </is>
      </c>
      <c r="V2" s="15" t="inlineStr">
        <is>
          <t>Subject_Scope</t>
        </is>
      </c>
      <c r="W2" s="15" t="inlineStr">
        <is>
          <t>Session_Scope</t>
        </is>
      </c>
      <c r="X2" s="15" t="inlineStr">
        <is>
          <t>Task_Scope</t>
        </is>
      </c>
      <c r="Y2" s="15" t="inlineStr">
        <is>
          <t>Modality_Scope</t>
        </is>
      </c>
      <c r="Z2" s="15" t="inlineStr">
        <is>
          <t>Class_Balance_Policy</t>
        </is>
      </c>
      <c r="AA2" s="15" t="inlineStr">
        <is>
          <t>Split_Family</t>
        </is>
      </c>
      <c r="AB2" s="15" t="inlineStr">
        <is>
          <t>Imbalance_Status</t>
        </is>
      </c>
      <c r="AC2" s="15" t="inlineStr">
        <is>
          <t>Leakage_Check_Status</t>
        </is>
      </c>
      <c r="AD2" s="15" t="inlineStr">
        <is>
          <t>Thesis_Use_Tag</t>
        </is>
      </c>
      <c r="AE2" s="15" t="inlineStr">
        <is>
          <t>Use_Case</t>
        </is>
      </c>
      <c r="AF2" s="15" t="inlineStr">
        <is>
          <t>Group_Unit</t>
        </is>
      </c>
      <c r="AG2" s="15" t="inlineStr">
        <is>
          <t>Grouping_Level</t>
        </is>
      </c>
      <c r="AH2" s="15" t="inlineStr">
        <is>
          <t>Transfer_Direction</t>
        </is>
      </c>
      <c r="AI2" s="15" t="inlineStr">
        <is>
          <t>Leakage_Risk_Level</t>
        </is>
      </c>
      <c r="AJ2" s="15" t="inlineStr">
        <is>
          <t>Target_Type</t>
        </is>
      </c>
      <c r="AK2" s="15" t="inlineStr">
        <is>
          <t>Execution_Section</t>
        </is>
      </c>
      <c r="AL2" s="15" t="inlineStr">
        <is>
          <t>Reuse_Policy</t>
        </is>
      </c>
      <c r="AM2" s="15" t="inlineStr">
        <is>
          <t>Search_Optimization_Mode</t>
        </is>
      </c>
      <c r="AN2" s="15" t="inlineStr">
        <is>
          <t>Search_Parameter_Scope</t>
        </is>
      </c>
      <c r="AO2" s="15" t="inlineStr">
        <is>
          <t>Study_Type</t>
        </is>
      </c>
      <c r="AP2" s="15" t="inlineStr">
        <is>
          <t>Study_Intent</t>
        </is>
      </c>
      <c r="AQ2" s="15" t="inlineStr">
        <is>
          <t>Factor_Type</t>
        </is>
      </c>
      <c r="AR2" s="15" t="inlineStr">
        <is>
          <t>Replication_Mode</t>
        </is>
      </c>
      <c r="AS2" s="15" t="inlineStr">
        <is>
          <t>Replication_Strategy</t>
        </is>
      </c>
      <c r="AT2" s="15" t="inlineStr">
        <is>
          <t>Blocking_Strategy</t>
        </is>
      </c>
      <c r="AU2" s="15" t="inlineStr">
        <is>
          <t>Randomization_Strategy</t>
        </is>
      </c>
      <c r="AV2" s="15" t="inlineStr">
        <is>
          <t>Random_Seed_Policy</t>
        </is>
      </c>
      <c r="AW2" s="15" t="inlineStr">
        <is>
          <t>Block_Type</t>
        </is>
      </c>
      <c r="AX2" s="15" t="inlineStr">
        <is>
          <t>Design_Cell_Status</t>
        </is>
      </c>
      <c r="AY2" s="15" t="inlineStr">
        <is>
          <t>Aggregation_Level</t>
        </is>
      </c>
      <c r="AZ2" s="15" t="inlineStr">
        <is>
          <t>Uncertainty_Method</t>
        </is>
      </c>
      <c r="BA2" s="15" t="inlineStr">
        <is>
          <t>Multiplicity_Handling</t>
        </is>
      </c>
      <c r="BB2" s="15" t="inlineStr">
        <is>
          <t>Interaction_Reporting_Policy</t>
        </is>
      </c>
      <c r="BC2" s="15" t="inlineStr">
        <is>
          <t>Term</t>
        </is>
      </c>
      <c r="BD2" s="15" t="inlineStr">
        <is>
          <t>Definition</t>
        </is>
      </c>
    </row>
    <row r="3">
      <c r="A3" s="4" t="inlineStr">
        <is>
          <t>Target-definition</t>
        </is>
      </c>
      <c r="B3" s="4" t="inlineStr">
        <is>
          <t>Primary confirmatory</t>
        </is>
      </c>
      <c r="C3" s="4" t="inlineStr">
        <is>
          <t>Stage 1 - Target lock</t>
        </is>
      </c>
      <c r="D3" s="4" t="inlineStr">
        <is>
          <t>Critical</t>
        </is>
      </c>
      <c r="E3" s="4" t="inlineStr">
        <is>
          <t>Planned</t>
        </is>
      </c>
      <c r="F3" s="4" t="inlineStr">
        <is>
          <t>Chapter 3 Method choice</t>
        </is>
      </c>
      <c r="G3" s="4" t="inlineStr">
        <is>
          <t>No</t>
        </is>
      </c>
      <c r="H3" s="4" t="inlineStr">
        <is>
          <t>No</t>
        </is>
      </c>
      <c r="I3" s="4" t="inlineStr">
        <is>
          <t>Open</t>
        </is>
      </c>
      <c r="J3" s="4" t="inlineStr">
        <is>
          <t>Pilot</t>
        </is>
      </c>
      <c r="K3" s="4" t="inlineStr">
        <is>
          <t>No</t>
        </is>
      </c>
      <c r="L3" s="4" t="inlineStr">
        <is>
          <t>No</t>
        </is>
      </c>
      <c r="M3" s="4" t="inlineStr">
        <is>
          <t>Method-choice</t>
        </is>
      </c>
      <c r="N3" s="4" t="inlineStr">
        <is>
          <t>open</t>
        </is>
      </c>
      <c r="O3" s="4" t="inlineStr">
        <is>
          <t>Chapter 3</t>
        </is>
      </c>
      <c r="P3" s="4" t="inlineStr">
        <is>
          <t>Not reviewed</t>
        </is>
      </c>
      <c r="Q3" s="4" t="inlineStr">
        <is>
          <t>Open</t>
        </is>
      </c>
      <c r="R3" s="4" t="inlineStr">
        <is>
          <t>Data governance</t>
        </is>
      </c>
      <c r="S3" s="4" t="inlineStr">
        <is>
          <t>No</t>
        </is>
      </c>
      <c r="T3" s="4" t="inlineStr">
        <is>
          <t>No</t>
        </is>
      </c>
      <c r="U3" s="4" t="inlineStr">
        <is>
          <t>No</t>
        </is>
      </c>
      <c r="V3" s="4" t="inlineStr">
        <is>
          <t>all_subjects</t>
        </is>
      </c>
      <c r="W3" s="4" t="inlineStr">
        <is>
          <t>all_sessions</t>
        </is>
      </c>
      <c r="X3" s="4" t="inlineStr">
        <is>
          <t>pooled_all_tasks</t>
        </is>
      </c>
      <c r="Y3" s="4" t="inlineStr">
        <is>
          <t>pooled_all_modalities</t>
        </is>
      </c>
      <c r="Z3" s="4" t="inlineStr">
        <is>
          <t>as_is</t>
        </is>
      </c>
      <c r="AA3" s="4" t="inlineStr">
        <is>
          <t>within_subject</t>
        </is>
      </c>
      <c r="AB3" s="4" t="inlineStr">
        <is>
          <t>unknown</t>
        </is>
      </c>
      <c r="AC3" s="4" t="inlineStr">
        <is>
          <t>not_checked</t>
        </is>
      </c>
      <c r="AD3" s="4" t="inlineStr">
        <is>
          <t>method_choice</t>
        </is>
      </c>
      <c r="AE3" s="4" t="inlineStr">
        <is>
          <t>method_choice</t>
        </is>
      </c>
      <c r="AF3" s="4" t="inlineStr">
        <is>
          <t>subject</t>
        </is>
      </c>
      <c r="AG3" s="4" t="inlineStr">
        <is>
          <t>within_subject</t>
        </is>
      </c>
      <c r="AH3" s="4" t="inlineStr">
        <is>
          <t>none_or_within_subject</t>
        </is>
      </c>
      <c r="AI3" s="4" t="inlineStr">
        <is>
          <t>low</t>
        </is>
      </c>
      <c r="AJ3" s="4" t="inlineStr">
        <is>
          <t>coarse_affect</t>
        </is>
      </c>
      <c r="AK3" s="4" t="inlineStr">
        <is>
          <t>dataset_selection</t>
        </is>
      </c>
      <c r="AL3" s="4" t="inlineStr">
        <is>
          <t>auto</t>
        </is>
      </c>
      <c r="AM3" s="4" t="inlineStr">
        <is>
          <t>deterministic_grid</t>
        </is>
      </c>
      <c r="AN3" s="4" t="inlineStr">
        <is>
          <t>parameter</t>
        </is>
      </c>
      <c r="AO3" s="4" t="inlineStr">
        <is>
          <t>single_experiment</t>
        </is>
      </c>
      <c r="AP3" s="4" t="inlineStr">
        <is>
          <t>exploratory</t>
        </is>
      </c>
      <c r="AQ3" s="4" t="inlineStr">
        <is>
          <t>categorical</t>
        </is>
      </c>
      <c r="AR3" s="4" t="inlineStr">
        <is>
          <t>none</t>
        </is>
      </c>
      <c r="AS3" s="4" t="inlineStr">
        <is>
          <t>none</t>
        </is>
      </c>
      <c r="AT3" s="4" t="inlineStr">
        <is>
          <t>none</t>
        </is>
      </c>
      <c r="AU3" s="4" t="inlineStr">
        <is>
          <t>none</t>
        </is>
      </c>
      <c r="AV3" s="4" t="inlineStr">
        <is>
          <t>fixed</t>
        </is>
      </c>
      <c r="AW3" s="4" t="inlineStr">
        <is>
          <t>none</t>
        </is>
      </c>
      <c r="AX3" s="4" t="inlineStr">
        <is>
          <t>planned</t>
        </is>
      </c>
      <c r="AY3" s="4" t="inlineStr">
        <is>
          <t>trial</t>
        </is>
      </c>
      <c r="AZ3" s="4" t="inlineStr">
        <is>
          <t>none</t>
        </is>
      </c>
      <c r="BA3" s="4" t="inlineStr">
        <is>
          <t>none</t>
        </is>
      </c>
      <c r="BB3" s="4" t="inlineStr">
        <is>
          <t>none</t>
        </is>
      </c>
      <c r="BC3" s="4" t="inlineStr">
        <is>
          <t>confirmatory</t>
        </is>
      </c>
      <c r="BD3" s="3" t="inlineStr">
        <is>
          <t>Pre-specified, locked-pipeline evidence analysis supporting main thesis claims.</t>
        </is>
      </c>
    </row>
    <row r="4">
      <c r="A4" s="12" t="inlineStr">
        <is>
          <t>Split-design</t>
        </is>
      </c>
      <c r="B4" s="12" t="inlineStr">
        <is>
          <t>Primary-supporting robustness</t>
        </is>
      </c>
      <c r="C4" s="12" t="inlineStr">
        <is>
          <t>Stage 2 - Split lock</t>
        </is>
      </c>
      <c r="D4" s="12" t="inlineStr">
        <is>
          <t>High</t>
        </is>
      </c>
      <c r="E4" s="12" t="inlineStr">
        <is>
          <t>Not started</t>
        </is>
      </c>
      <c r="F4" s="12" t="inlineStr">
        <is>
          <t>Chapter 4 Main results</t>
        </is>
      </c>
      <c r="G4" s="12" t="inlineStr">
        <is>
          <t>Yes</t>
        </is>
      </c>
      <c r="H4" s="12" t="inlineStr">
        <is>
          <t>Yes</t>
        </is>
      </c>
      <c r="I4" s="12" t="inlineStr">
        <is>
          <t>Locked</t>
        </is>
      </c>
      <c r="J4" s="12" t="inlineStr">
        <is>
          <t>Decision-support</t>
        </is>
      </c>
      <c r="K4" s="12" t="inlineStr">
        <is>
          <t>Yes</t>
        </is>
      </c>
      <c r="L4" s="12" t="inlineStr">
        <is>
          <t>Yes</t>
        </is>
      </c>
      <c r="M4" s="12" t="inlineStr">
        <is>
          <t>Confirmatory finding</t>
        </is>
      </c>
      <c r="N4" s="12" t="inlineStr">
        <is>
          <t>partial</t>
        </is>
      </c>
      <c r="O4" s="12" t="inlineStr">
        <is>
          <t>Chapter 4</t>
        </is>
      </c>
      <c r="P4" s="12" t="inlineStr">
        <is>
          <t>Partially verified</t>
        </is>
      </c>
      <c r="Q4" s="12" t="inlineStr">
        <is>
          <t>Monitoring</t>
        </is>
      </c>
      <c r="R4" s="12" t="inlineStr">
        <is>
          <t>Bias/fairness</t>
        </is>
      </c>
      <c r="S4" s="12" t="inlineStr">
        <is>
          <t>Yes</t>
        </is>
      </c>
      <c r="T4" s="12" t="inlineStr">
        <is>
          <t>Yes</t>
        </is>
      </c>
      <c r="U4" s="12" t="inlineStr">
        <is>
          <t>Yes</t>
        </is>
      </c>
      <c r="V4" s="12" t="inlineStr">
        <is>
          <t>single_subject</t>
        </is>
      </c>
      <c r="W4" s="12" t="inlineStr">
        <is>
          <t>early_only</t>
        </is>
      </c>
      <c r="X4" s="12" t="inlineStr">
        <is>
          <t>passive_only</t>
        </is>
      </c>
      <c r="Y4" s="12" t="inlineStr">
        <is>
          <t>audio_only</t>
        </is>
      </c>
      <c r="Z4" s="12" t="inlineStr">
        <is>
          <t>balanced_subset</t>
        </is>
      </c>
      <c r="AA4" s="12" t="inlineStr">
        <is>
          <t>cross_person</t>
        </is>
      </c>
      <c r="AB4" s="12" t="inlineStr">
        <is>
          <t>balanced</t>
        </is>
      </c>
      <c r="AC4" s="12" t="inlineStr">
        <is>
          <t>passed</t>
        </is>
      </c>
      <c r="AD4" s="12" t="inlineStr">
        <is>
          <t>main_confirmatory</t>
        </is>
      </c>
      <c r="AE4" s="12" t="inlineStr">
        <is>
          <t>confirmatory_within_person</t>
        </is>
      </c>
      <c r="AF4" s="12" t="inlineStr">
        <is>
          <t>session</t>
        </is>
      </c>
      <c r="AG4" s="12" t="inlineStr">
        <is>
          <t>across_subject</t>
        </is>
      </c>
      <c r="AH4" s="12" t="inlineStr">
        <is>
          <t>A_to_B</t>
        </is>
      </c>
      <c r="AI4" s="12" t="inlineStr">
        <is>
          <t>medium</t>
        </is>
      </c>
      <c r="AJ4" s="12" t="inlineStr">
        <is>
          <t>binary_valence_like</t>
        </is>
      </c>
      <c r="AK4" s="12" t="inlineStr">
        <is>
          <t>feature_cache_build</t>
        </is>
      </c>
      <c r="AL4" s="12" t="inlineStr">
        <is>
          <t>require_explicit_base</t>
        </is>
      </c>
      <c r="AM4" s="12" t="inlineStr">
        <is>
          <t>optuna</t>
        </is>
      </c>
      <c r="AN4" s="12" t="inlineStr">
        <is>
          <t>segment</t>
        </is>
      </c>
      <c r="AO4" s="12" t="inlineStr">
        <is>
          <t>full_factorial</t>
        </is>
      </c>
      <c r="AP4" s="12" t="inlineStr">
        <is>
          <t>confirmatory</t>
        </is>
      </c>
      <c r="AQ4" s="12" t="inlineStr">
        <is>
          <t>boolean</t>
        </is>
      </c>
      <c r="AR4" s="12" t="inlineStr">
        <is>
          <t>fixed_repeats</t>
        </is>
      </c>
      <c r="AS4" s="12" t="inlineStr">
        <is>
          <t>fixed_repeats</t>
        </is>
      </c>
      <c r="AT4" s="12" t="inlineStr">
        <is>
          <t>by_subject</t>
        </is>
      </c>
      <c r="AU4" s="12" t="inlineStr">
        <is>
          <t>fixed_order</t>
        </is>
      </c>
      <c r="AV4" s="12" t="inlineStr">
        <is>
          <t>per_repeat</t>
        </is>
      </c>
      <c r="AW4" s="12" t="inlineStr">
        <is>
          <t>subject</t>
        </is>
      </c>
      <c r="AX4" s="12" t="inlineStr">
        <is>
          <t>dry_run</t>
        </is>
      </c>
      <c r="AY4" s="12" t="inlineStr">
        <is>
          <t>cell</t>
        </is>
      </c>
      <c r="AZ4" s="12" t="inlineStr">
        <is>
          <t>standard_error</t>
        </is>
      </c>
      <c r="BA4" s="12" t="inlineStr">
        <is>
          <t>bonferroni</t>
        </is>
      </c>
      <c r="BB4" s="12" t="inlineStr">
        <is>
          <t>descriptive_only</t>
        </is>
      </c>
      <c r="BC4" s="12" t="inlineStr">
        <is>
          <t>decision-support</t>
        </is>
      </c>
      <c r="BD4" s="8" t="inlineStr">
        <is>
          <t>Method-choice analysis performed before locking confirmatory settings.</t>
        </is>
      </c>
    </row>
    <row r="5">
      <c r="A5" s="4" t="inlineStr">
        <is>
          <t>Model-comparison</t>
        </is>
      </c>
      <c r="B5" s="4" t="inlineStr">
        <is>
          <t>Secondary decision-support</t>
        </is>
      </c>
      <c r="C5" s="4" t="inlineStr">
        <is>
          <t>Stage 3 - Model lock</t>
        </is>
      </c>
      <c r="D5" s="4" t="inlineStr">
        <is>
          <t>Medium</t>
        </is>
      </c>
      <c r="E5" s="4" t="inlineStr">
        <is>
          <t>Running</t>
        </is>
      </c>
      <c r="F5" s="4" t="inlineStr">
        <is>
          <t>Chapter 4 Supporting robustness</t>
        </is>
      </c>
      <c r="J5" s="4" t="inlineStr">
        <is>
          <t>Confirmatory</t>
        </is>
      </c>
      <c r="M5" s="4" t="inlineStr">
        <is>
          <t>Robustness support</t>
        </is>
      </c>
      <c r="N5" s="4" t="inlineStr">
        <is>
          <t>supported</t>
        </is>
      </c>
      <c r="O5" s="4" t="inlineStr">
        <is>
          <t>Chapter 5</t>
        </is>
      </c>
      <c r="P5" s="4" t="inlineStr">
        <is>
          <t>Verified</t>
        </is>
      </c>
      <c r="Q5" s="4" t="inlineStr">
        <is>
          <t>Closed</t>
        </is>
      </c>
      <c r="R5" s="4" t="inlineStr">
        <is>
          <t>Interpretation limits</t>
        </is>
      </c>
      <c r="V5" s="4" t="inlineStr">
        <is>
          <t>cross_person_transfer</t>
        </is>
      </c>
      <c r="W5" s="4" t="inlineStr">
        <is>
          <t>late_only</t>
        </is>
      </c>
      <c r="X5" s="4" t="inlineStr">
        <is>
          <t>emo_only</t>
        </is>
      </c>
      <c r="Y5" s="4" t="inlineStr">
        <is>
          <t>video_only</t>
        </is>
      </c>
      <c r="Z5" s="4" t="inlineStr">
        <is>
          <t>weighted_only</t>
        </is>
      </c>
      <c r="AA5" s="4" t="inlineStr">
        <is>
          <t>temporal</t>
        </is>
      </c>
      <c r="AB5" s="4" t="inlineStr">
        <is>
          <t>mild_imbalance</t>
        </is>
      </c>
      <c r="AC5" s="4" t="inlineStr">
        <is>
          <t>warning</t>
        </is>
      </c>
      <c r="AD5" s="4" t="inlineStr">
        <is>
          <t>supporting_robustness</t>
        </is>
      </c>
      <c r="AE5" s="4" t="inlineStr">
        <is>
          <t>confirmatory_cross_person_transfer</t>
        </is>
      </c>
      <c r="AF5" s="4" t="inlineStr">
        <is>
          <t>task</t>
        </is>
      </c>
      <c r="AG5" s="4" t="inlineStr">
        <is>
          <t>session_level</t>
        </is>
      </c>
      <c r="AH5" s="4" t="inlineStr">
        <is>
          <t>B_to_A</t>
        </is>
      </c>
      <c r="AI5" s="4" t="inlineStr">
        <is>
          <t>high</t>
        </is>
      </c>
      <c r="AJ5" s="4" t="inlineStr">
        <is>
          <t>fine_emotion</t>
        </is>
      </c>
      <c r="AK5" s="4" t="inlineStr">
        <is>
          <t>feature_matrix_load</t>
        </is>
      </c>
      <c r="AL5" s="4" t="inlineStr">
        <is>
          <t>disallow</t>
        </is>
      </c>
      <c r="AN5" s="4" t="inlineStr">
        <is>
          <t>xai</t>
        </is>
      </c>
      <c r="AO5" s="4" t="inlineStr">
        <is>
          <t>fractional_factorial</t>
        </is>
      </c>
      <c r="AQ5" s="4" t="inlineStr">
        <is>
          <t>ordinal</t>
        </is>
      </c>
      <c r="AR5" s="4" t="inlineStr">
        <is>
          <t>custom_blocks</t>
        </is>
      </c>
      <c r="AS5" s="4" t="inlineStr">
        <is>
          <t>blocked_repeats</t>
        </is>
      </c>
      <c r="AT5" s="4" t="inlineStr">
        <is>
          <t>by_task</t>
        </is>
      </c>
      <c r="AU5" s="4" t="inlineStr">
        <is>
          <t>random_per_trial</t>
        </is>
      </c>
      <c r="AV5" s="4" t="inlineStr">
        <is>
          <t>per_cell</t>
        </is>
      </c>
      <c r="AW5" s="4" t="inlineStr">
        <is>
          <t>task</t>
        </is>
      </c>
      <c r="AX5" s="4" t="inlineStr">
        <is>
          <t>completed</t>
        </is>
      </c>
      <c r="AY5" s="4" t="inlineStr">
        <is>
          <t>subject</t>
        </is>
      </c>
      <c r="AZ5" s="4" t="inlineStr">
        <is>
          <t>confidence_interval</t>
        </is>
      </c>
      <c r="BA5" s="4" t="inlineStr">
        <is>
          <t>holm</t>
        </is>
      </c>
      <c r="BB5" s="4" t="inlineStr">
        <is>
          <t>pre_specified_only</t>
        </is>
      </c>
      <c r="BC5" s="4" t="inlineStr">
        <is>
          <t>exploratory</t>
        </is>
      </c>
      <c r="BD5" s="3" t="inlineStr">
        <is>
          <t>Hypothesis-generating extension outside confirmatory core.</t>
        </is>
      </c>
    </row>
    <row r="6">
      <c r="A6" s="12" t="inlineStr">
        <is>
          <t>Preprocessing-feature</t>
        </is>
      </c>
      <c r="B6" s="12" t="inlineStr">
        <is>
          <t>Secondary decision-support / robustness</t>
        </is>
      </c>
      <c r="C6" s="12" t="inlineStr">
        <is>
          <t>Stage 4 - Feature/preprocessing lock</t>
        </is>
      </c>
      <c r="D6" s="12" t="inlineStr">
        <is>
          <t>Low</t>
        </is>
      </c>
      <c r="E6" s="12" t="inlineStr">
        <is>
          <t>Completed</t>
        </is>
      </c>
      <c r="F6" s="12" t="inlineStr">
        <is>
          <t>Chapter 5 Discussion</t>
        </is>
      </c>
      <c r="J6" s="12" t="inlineStr">
        <is>
          <t>Robustness</t>
        </is>
      </c>
      <c r="M6" s="12" t="inlineStr">
        <is>
          <t>Exploratory observation</t>
        </is>
      </c>
      <c r="O6" s="12" t="inlineStr">
        <is>
          <t>Appendix</t>
        </is>
      </c>
      <c r="R6" s="12" t="inlineStr">
        <is>
          <t>AI/tool transparency</t>
        </is>
      </c>
      <c r="W6" s="12" t="inlineStr">
        <is>
          <t>held_out_session</t>
        </is>
      </c>
      <c r="X6" s="12" t="inlineStr">
        <is>
          <t>rating_only</t>
        </is>
      </c>
      <c r="Y6" s="12" t="inlineStr">
        <is>
          <t>audiovisual_only</t>
        </is>
      </c>
      <c r="Z6" s="12" t="inlineStr">
        <is>
          <t>min_count_threshold</t>
        </is>
      </c>
      <c r="AA6" s="12" t="inlineStr">
        <is>
          <t>weak_split_demo</t>
        </is>
      </c>
      <c r="AB6" s="12" t="inlineStr">
        <is>
          <t>severe_imbalance</t>
        </is>
      </c>
      <c r="AC6" s="12" t="inlineStr">
        <is>
          <t>failed</t>
        </is>
      </c>
      <c r="AD6" s="12" t="inlineStr">
        <is>
          <t>discussion_limitations</t>
        </is>
      </c>
      <c r="AE6" s="12" t="inlineStr">
        <is>
          <t>robustness_support</t>
        </is>
      </c>
      <c r="AF6" s="12" t="inlineStr">
        <is>
          <t>modality</t>
        </is>
      </c>
      <c r="AG6" s="12" t="inlineStr">
        <is>
          <t>task_level</t>
        </is>
      </c>
      <c r="AH6" s="12" t="inlineStr">
        <is>
          <t>bidirectional</t>
        </is>
      </c>
      <c r="AI6" s="12" t="inlineStr">
        <is>
          <t>critical</t>
        </is>
      </c>
      <c r="AJ6" s="12" t="inlineStr">
        <is>
          <t>custom_target</t>
        </is>
      </c>
      <c r="AK6" s="12" t="inlineStr">
        <is>
          <t>spatial_validation</t>
        </is>
      </c>
      <c r="AO6" s="12" t="inlineStr">
        <is>
          <t>custom_matrix</t>
        </is>
      </c>
      <c r="AQ6" s="12" t="inlineStr">
        <is>
          <t>numeric</t>
        </is>
      </c>
      <c r="AS6" s="12" t="inlineStr">
        <is>
          <t>custom</t>
        </is>
      </c>
      <c r="AT6" s="12" t="inlineStr">
        <is>
          <t>by_modality</t>
        </is>
      </c>
      <c r="AU6" s="12" t="inlineStr">
        <is>
          <t>random_per_repeat</t>
        </is>
      </c>
      <c r="AW6" s="12" t="inlineStr">
        <is>
          <t>modality</t>
        </is>
      </c>
      <c r="AX6" s="12" t="inlineStr">
        <is>
          <t>failed</t>
        </is>
      </c>
      <c r="AY6" s="12" t="inlineStr">
        <is>
          <t>fold</t>
        </is>
      </c>
      <c r="AZ6" s="12" t="inlineStr">
        <is>
          <t>bootstrap</t>
        </is>
      </c>
      <c r="BA6" s="12" t="inlineStr">
        <is>
          <t>fdr</t>
        </is>
      </c>
      <c r="BB6" s="12" t="inlineStr">
        <is>
          <t>all_two_way_descriptive</t>
        </is>
      </c>
      <c r="BC6" s="12" t="inlineStr">
        <is>
          <t>data slice</t>
        </is>
      </c>
      <c r="BD6" s="8" t="inlineStr">
        <is>
          <t>Explicit subset policy over subjects/sessions/tasks/modalities/labels used by runs.</t>
        </is>
      </c>
    </row>
    <row r="7">
      <c r="A7" s="4" t="inlineStr">
        <is>
          <t>Robustness</t>
        </is>
      </c>
      <c r="B7" s="4" t="inlineStr">
        <is>
          <t>Exploratory extension</t>
        </is>
      </c>
      <c r="C7" s="4" t="inlineStr">
        <is>
          <t>Stage 5 - Confirmatory analysis</t>
        </is>
      </c>
      <c r="E7" s="4" t="inlineStr">
        <is>
          <t>On hold</t>
        </is>
      </c>
      <c r="F7" s="4" t="inlineStr">
        <is>
          <t>Appendix</t>
        </is>
      </c>
      <c r="J7" s="4" t="inlineStr">
        <is>
          <t>Exploratory</t>
        </is>
      </c>
      <c r="R7" s="4" t="inlineStr">
        <is>
          <t>Reproducibility</t>
        </is>
      </c>
      <c r="W7" s="4" t="inlineStr">
        <is>
          <t>custom_window</t>
        </is>
      </c>
      <c r="X7" s="4" t="inlineStr">
        <is>
          <t>task_specific_other</t>
        </is>
      </c>
      <c r="AA7" s="4" t="inlineStr">
        <is>
          <t>diagnostic</t>
        </is>
      </c>
      <c r="AD7" s="4" t="inlineStr">
        <is>
          <t>appendix_exploratory</t>
        </is>
      </c>
      <c r="AE7" s="4" t="inlineStr">
        <is>
          <t>weak_split_demo_only</t>
        </is>
      </c>
      <c r="AF7" s="4" t="inlineStr">
        <is>
          <t>subject_session</t>
        </is>
      </c>
      <c r="AG7" s="4" t="inlineStr">
        <is>
          <t>modality_level</t>
        </is>
      </c>
      <c r="AH7" s="4" t="inlineStr">
        <is>
          <t>custom</t>
        </is>
      </c>
      <c r="AK7" s="4" t="inlineStr">
        <is>
          <t>model_fit</t>
        </is>
      </c>
      <c r="AT7" s="4" t="inlineStr">
        <is>
          <t>custom</t>
        </is>
      </c>
      <c r="AU7" s="4" t="inlineStr">
        <is>
          <t>custom</t>
        </is>
      </c>
      <c r="AW7" s="4" t="inlineStr">
        <is>
          <t>custom</t>
        </is>
      </c>
      <c r="AX7" s="4" t="inlineStr">
        <is>
          <t>blocked</t>
        </is>
      </c>
      <c r="AY7" s="4" t="inlineStr">
        <is>
          <t>group</t>
        </is>
      </c>
      <c r="AZ7" s="4" t="inlineStr">
        <is>
          <t>permutation</t>
        </is>
      </c>
      <c r="BA7" s="4" t="inlineStr">
        <is>
          <t>hierarchical_gatekeeping</t>
        </is>
      </c>
      <c r="BC7" s="4" t="inlineStr">
        <is>
          <t>grouping strategy</t>
        </is>
      </c>
      <c r="BD7" s="3" t="inlineStr">
        <is>
          <t>Explicit train/test grouping logic and split family for claim-matched evaluation.</t>
        </is>
      </c>
    </row>
    <row r="8">
      <c r="A8" s="12" t="inlineStr">
        <is>
          <t>Confirmatory core</t>
        </is>
      </c>
      <c r="C8" s="12" t="inlineStr">
        <is>
          <t>Stage 6 - Robustness analysis</t>
        </is>
      </c>
      <c r="E8" s="12" t="inlineStr">
        <is>
          <t>Dropped</t>
        </is>
      </c>
      <c r="R8" s="12" t="inlineStr">
        <is>
          <t>Other</t>
        </is>
      </c>
      <c r="AE8" s="12" t="inlineStr">
        <is>
          <t>diagnostic_only</t>
        </is>
      </c>
      <c r="AF8" s="12" t="inlineStr">
        <is>
          <t>task_modality</t>
        </is>
      </c>
      <c r="AG8" s="12" t="inlineStr">
        <is>
          <t>task_modality_level</t>
        </is>
      </c>
      <c r="AK8" s="12" t="inlineStr">
        <is>
          <t>interpretability</t>
        </is>
      </c>
      <c r="BA8" s="12" t="inlineStr">
        <is>
          <t>pre_specified_contrasts_only</t>
        </is>
      </c>
      <c r="BC8" s="12" t="inlineStr">
        <is>
          <t>weak split demo</t>
        </is>
      </c>
      <c r="BD8" s="8" t="inlineStr">
        <is>
          <t>Intentionally weak split used only to demonstrate inflation risk; not confirmatory evidence.</t>
        </is>
      </c>
    </row>
    <row r="9">
      <c r="A9" s="4" t="inlineStr">
        <is>
          <t>External exploratory</t>
        </is>
      </c>
      <c r="C9" s="4" t="inlineStr">
        <is>
          <t>Stage 7 - Exploratory extension</t>
        </is>
      </c>
      <c r="AE9" s="4" t="inlineStr">
        <is>
          <t>exploratory_only</t>
        </is>
      </c>
      <c r="AF9" s="4" t="inlineStr">
        <is>
          <t>custom_group</t>
        </is>
      </c>
      <c r="AG9" s="4" t="inlineStr">
        <is>
          <t>mixed_level</t>
        </is>
      </c>
      <c r="AK9" s="4" t="inlineStr">
        <is>
          <t>evaluation</t>
        </is>
      </c>
      <c r="BC9" s="4" t="inlineStr">
        <is>
          <t>construct validity</t>
        </is>
      </c>
      <c r="BD9" s="3" t="inlineStr">
        <is>
          <t>How well labels/features operationalize intended constructs.</t>
        </is>
      </c>
    </row>
    <row r="10">
      <c r="BC10" s="12" t="inlineStr">
        <is>
          <t>internal validity</t>
        </is>
      </c>
      <c r="BD10" s="8" t="inlineStr">
        <is>
          <t>Protection against confounds and leakage in design and execution.</t>
        </is>
      </c>
    </row>
    <row r="11">
      <c r="BC11" s="4" t="inlineStr">
        <is>
          <t>statistical conclusion validity</t>
        </is>
      </c>
      <c r="BD11" s="3" t="inlineStr">
        <is>
          <t>Reliability of metric-based inference.</t>
        </is>
      </c>
    </row>
    <row r="12">
      <c r="BC12" s="12" t="inlineStr">
        <is>
          <t>external validity</t>
        </is>
      </c>
      <c r="BD12" s="8" t="inlineStr">
        <is>
          <t>Extent findings transfer to other data contexts.</t>
        </is>
      </c>
    </row>
    <row r="13">
      <c r="BC13" s="4" t="inlineStr">
        <is>
          <t>leakage</t>
        </is>
      </c>
      <c r="BD13" s="3" t="inlineStr">
        <is>
          <t>Train-test information contamination that inflates apparent performance.</t>
        </is>
      </c>
    </row>
    <row r="14">
      <c r="BC14" s="12" t="inlineStr">
        <is>
          <t>domain shift</t>
        </is>
      </c>
      <c r="BD14" s="8" t="inlineStr">
        <is>
          <t>Distribution shift between train and test domains.</t>
        </is>
      </c>
    </row>
    <row r="15">
      <c r="BC15" s="4" t="inlineStr">
        <is>
          <t>interpretability stability</t>
        </is>
      </c>
      <c r="BD15" s="3" t="inlineStr">
        <is>
          <t>Consistency of model-behavior explanation signals across folds.</t>
        </is>
      </c>
    </row>
  </sheetData>
  <mergeCells count="2">
    <mergeCell ref="A1:BB1"/>
    <mergeCell ref="BC1:B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3" customWidth="1" min="3" max="3"/>
    <col width="30" customWidth="1" min="4" max="4"/>
    <col width="12" customWidth="1" min="5" max="5"/>
    <col width="3" customWidth="1" min="6" max="6"/>
    <col width="36" customWidth="1" min="7" max="7"/>
    <col width="12" customWidth="1" min="8" max="8"/>
    <col width="3" customWidth="1" min="9" max="9"/>
    <col width="24" customWidth="1" min="10" max="10"/>
    <col width="12" customWidth="1" min="11" max="11"/>
    <col width="3" customWidth="1" min="12" max="12"/>
    <col width="28" customWidth="1" min="13" max="13"/>
    <col width="12" customWidth="1" min="14" max="14"/>
  </cols>
  <sheetData>
    <row r="1">
      <c r="A1" s="16" t="inlineStr">
        <is>
          <t>Thesis Experiment Program Dashboard (v2)</t>
        </is>
      </c>
    </row>
    <row r="3">
      <c r="A3" s="17" t="inlineStr">
        <is>
          <t>Program state summary</t>
        </is>
      </c>
      <c r="D3" s="17" t="inlineStr">
        <is>
          <t>Experiments by category</t>
        </is>
      </c>
      <c r="G3" s="17" t="inlineStr">
        <is>
          <t>Experiments by evidential role</t>
        </is>
      </c>
      <c r="J3" s="17" t="inlineStr">
        <is>
          <t>Experiments by data slice</t>
        </is>
      </c>
      <c r="M3" s="17" t="inlineStr">
        <is>
          <t>Experiments by grouping strategy</t>
        </is>
      </c>
    </row>
    <row r="4">
      <c r="A4" s="12" t="inlineStr">
        <is>
          <t>Total number of experiments</t>
        </is>
      </c>
      <c r="B4" s="12">
        <f>COUNTA(Master_Experiments!$A$2:$A$500)</f>
        <v/>
      </c>
      <c r="D4" s="4">
        <f>Dictionary_Validation!A3</f>
        <v/>
      </c>
      <c r="E4" s="4">
        <f>COUNTIF(Master_Experiments!$C:$C,D4)</f>
        <v/>
      </c>
      <c r="G4" s="18">
        <f>Dictionary_Validation!B3</f>
        <v/>
      </c>
      <c r="H4" s="4">
        <f>COUNTIF(Master_Experiments!$D:$D,G4)</f>
        <v/>
      </c>
      <c r="J4" s="4">
        <f>IFERROR(Data_Selection_Design!$A2,"")</f>
        <v/>
      </c>
      <c r="K4" s="4">
        <f>IF(J4="","",SUMPRODUCT((Run_Log!$F$2:$F$2000=J4)*(Run_Log!$B$2:$B$2000&lt;&gt;"")/IFERROR(COUNTIFS(Run_Log!$F$2:$F$2000,J4,Run_Log!$B$2:$B$2000,Run_Log!$B$2:$B$2000),1)))</f>
        <v/>
      </c>
      <c r="M4" s="4">
        <f>IFERROR(Grouping_Strategy_Map!$A2,"")</f>
        <v/>
      </c>
      <c r="N4" s="4">
        <f>IF(M4="","",SUMPRODUCT((Run_Log!$G$2:$G$2000=M4)*(Run_Log!$B$2:$B$2000&lt;&gt;"")/IFERROR(COUNTIFS(Run_Log!$G$2:$G$2000,M4,Run_Log!$B$2:$B$2000,Run_Log!$B$2:$B$2000),1)))</f>
        <v/>
      </c>
    </row>
    <row r="5">
      <c r="A5" s="4" t="inlineStr">
        <is>
          <t>Completed experiments</t>
        </is>
      </c>
      <c r="B5" s="4">
        <f>COUNTIF(Master_Experiments!$AA$2:$AA$500,"Completed")</f>
        <v/>
      </c>
      <c r="D5" s="4">
        <f>Dictionary_Validation!A4</f>
        <v/>
      </c>
      <c r="E5" s="4">
        <f>COUNTIF(Master_Experiments!$C:$C,D5)</f>
        <v/>
      </c>
      <c r="G5" s="18">
        <f>Dictionary_Validation!B4</f>
        <v/>
      </c>
      <c r="H5" s="4">
        <f>COUNTIF(Master_Experiments!$D:$D,G5)</f>
        <v/>
      </c>
      <c r="J5" s="4">
        <f>IFERROR(Data_Selection_Design!$A3,"")</f>
        <v/>
      </c>
      <c r="K5" s="4">
        <f>IF(J5="","",SUMPRODUCT((Run_Log!$F$2:$F$2000=J5)*(Run_Log!$B$2:$B$2000&lt;&gt;"")/IFERROR(COUNTIFS(Run_Log!$F$2:$F$2000,J5,Run_Log!$B$2:$B$2000,Run_Log!$B$2:$B$2000),1)))</f>
        <v/>
      </c>
      <c r="M5" s="4">
        <f>IFERROR(Grouping_Strategy_Map!$A3,"")</f>
        <v/>
      </c>
      <c r="N5" s="4">
        <f>IF(M5="","",SUMPRODUCT((Run_Log!$G$2:$G$2000=M5)*(Run_Log!$B$2:$B$2000&lt;&gt;"")/IFERROR(COUNTIFS(Run_Log!$G$2:$G$2000,M5,Run_Log!$B$2:$B$2000,Run_Log!$B$2:$B$2000),1)))</f>
        <v/>
      </c>
    </row>
    <row r="6">
      <c r="A6" s="12" t="inlineStr">
        <is>
          <t>Critical experiments completed</t>
        </is>
      </c>
      <c r="B6" s="12">
        <f>COUNTIFS(Master_Experiments!$F$2:$F$500,"Critical",Master_Experiments!$AA$2:$AA$500,"Completed")</f>
        <v/>
      </c>
      <c r="D6" s="4">
        <f>Dictionary_Validation!A5</f>
        <v/>
      </c>
      <c r="E6" s="4">
        <f>COUNTIF(Master_Experiments!$C:$C,D6)</f>
        <v/>
      </c>
      <c r="G6" s="18">
        <f>Dictionary_Validation!B5</f>
        <v/>
      </c>
      <c r="H6" s="4">
        <f>COUNTIF(Master_Experiments!$D:$D,G6)</f>
        <v/>
      </c>
      <c r="J6" s="4">
        <f>IFERROR(Data_Selection_Design!$A4,"")</f>
        <v/>
      </c>
      <c r="K6" s="4">
        <f>IF(J6="","",SUMPRODUCT((Run_Log!$F$2:$F$2000=J6)*(Run_Log!$B$2:$B$2000&lt;&gt;"")/IFERROR(COUNTIFS(Run_Log!$F$2:$F$2000,J6,Run_Log!$B$2:$B$2000,Run_Log!$B$2:$B$2000),1)))</f>
        <v/>
      </c>
      <c r="M6" s="4">
        <f>IFERROR(Grouping_Strategy_Map!$A4,"")</f>
        <v/>
      </c>
      <c r="N6" s="4">
        <f>IF(M6="","",SUMPRODUCT((Run_Log!$G$2:$G$2000=M6)*(Run_Log!$B$2:$B$2000&lt;&gt;"")/IFERROR(COUNTIFS(Run_Log!$G$2:$G$2000,M6,Run_Log!$B$2:$B$2000,Run_Log!$B$2:$B$2000),1)))</f>
        <v/>
      </c>
    </row>
    <row r="7">
      <c r="A7" s="4" t="inlineStr">
        <is>
          <t>Open decisions</t>
        </is>
      </c>
      <c r="B7" s="4">
        <f>COUNTIF(Decision_Log!$M$2:$M$500,"Open")</f>
        <v/>
      </c>
      <c r="D7" s="4">
        <f>Dictionary_Validation!A6</f>
        <v/>
      </c>
      <c r="E7" s="4">
        <f>COUNTIF(Master_Experiments!$C:$C,D7)</f>
        <v/>
      </c>
      <c r="G7" s="18">
        <f>Dictionary_Validation!B6</f>
        <v/>
      </c>
      <c r="H7" s="4">
        <f>COUNTIF(Master_Experiments!$D:$D,G7)</f>
        <v/>
      </c>
      <c r="J7" s="4">
        <f>IFERROR(Data_Selection_Design!$A5,"")</f>
        <v/>
      </c>
      <c r="K7" s="4">
        <f>IF(J7="","",SUMPRODUCT((Run_Log!$F$2:$F$2000=J7)*(Run_Log!$B$2:$B$2000&lt;&gt;"")/IFERROR(COUNTIFS(Run_Log!$F$2:$F$2000,J7,Run_Log!$B$2:$B$2000,Run_Log!$B$2:$B$2000),1)))</f>
        <v/>
      </c>
      <c r="M7" s="4">
        <f>IFERROR(Grouping_Strategy_Map!$A5,"")</f>
        <v/>
      </c>
      <c r="N7" s="4">
        <f>IF(M7="","",SUMPRODUCT((Run_Log!$G$2:$G$2000=M7)*(Run_Log!$B$2:$B$2000&lt;&gt;"")/IFERROR(COUNTIFS(Run_Log!$G$2:$G$2000,M7,Run_Log!$B$2:$B$2000,Run_Log!$B$2:$B$2000),1)))</f>
        <v/>
      </c>
    </row>
    <row r="8">
      <c r="A8" s="12" t="inlineStr">
        <is>
          <t>Locked decisions</t>
        </is>
      </c>
      <c r="B8" s="12">
        <f>COUNTIF(Decision_Log!$M$2:$M$500,"Locked")</f>
        <v/>
      </c>
      <c r="D8" s="4">
        <f>Dictionary_Validation!A7</f>
        <v/>
      </c>
      <c r="E8" s="4">
        <f>COUNTIF(Master_Experiments!$C:$C,D8)</f>
        <v/>
      </c>
      <c r="G8" s="18">
        <f>Dictionary_Validation!B7</f>
        <v/>
      </c>
      <c r="H8" s="4">
        <f>COUNTIF(Master_Experiments!$D:$D,G8)</f>
        <v/>
      </c>
      <c r="J8" s="4">
        <f>IFERROR(Data_Selection_Design!$A6,"")</f>
        <v/>
      </c>
      <c r="K8" s="4">
        <f>IF(J8="","",SUMPRODUCT((Run_Log!$F$2:$F$2000=J8)*(Run_Log!$B$2:$B$2000&lt;&gt;"")/IFERROR(COUNTIFS(Run_Log!$F$2:$F$2000,J8,Run_Log!$B$2:$B$2000,Run_Log!$B$2:$B$2000),1)))</f>
        <v/>
      </c>
      <c r="M8" s="4">
        <f>IFERROR(Grouping_Strategy_Map!$A6,"")</f>
        <v/>
      </c>
      <c r="N8" s="4">
        <f>IF(M8="","",SUMPRODUCT((Run_Log!$G$2:$G$2000=M8)*(Run_Log!$B$2:$B$2000&lt;&gt;"")/IFERROR(COUNTIFS(Run_Log!$G$2:$G$2000,M8,Run_Log!$B$2:$B$2000,Run_Log!$B$2:$B$2000),1)))</f>
        <v/>
      </c>
    </row>
    <row r="9">
      <c r="A9" s="4" t="inlineStr">
        <is>
          <t>Target locked?</t>
        </is>
      </c>
      <c r="B9" s="4">
        <f>IF(COUNTIFS(Decision_Log!$A:$A,"D01",Decision_Log!$M:$M,"Locked")&gt;0,"YES","NO")</f>
        <v/>
      </c>
      <c r="D9" s="4">
        <f>Dictionary_Validation!A8</f>
        <v/>
      </c>
      <c r="E9" s="4">
        <f>COUNTIF(Master_Experiments!$C:$C,D9)</f>
        <v/>
      </c>
      <c r="J9" s="4">
        <f>IFERROR(Data_Selection_Design!$A7,"")</f>
        <v/>
      </c>
      <c r="K9" s="4">
        <f>IF(J9="","",SUMPRODUCT((Run_Log!$F$2:$F$2000=J9)*(Run_Log!$B$2:$B$2000&lt;&gt;"")/IFERROR(COUNTIFS(Run_Log!$F$2:$F$2000,J9,Run_Log!$B$2:$B$2000,Run_Log!$B$2:$B$2000),1)))</f>
        <v/>
      </c>
      <c r="M9" s="4">
        <f>IFERROR(Grouping_Strategy_Map!$A7,"")</f>
        <v/>
      </c>
      <c r="N9" s="4">
        <f>IF(M9="","",SUMPRODUCT((Run_Log!$G$2:$G$2000=M9)*(Run_Log!$B$2:$B$2000&lt;&gt;"")/IFERROR(COUNTIFS(Run_Log!$G$2:$G$2000,M9,Run_Log!$B$2:$B$2000,Run_Log!$B$2:$B$2000),1)))</f>
        <v/>
      </c>
    </row>
    <row r="10">
      <c r="A10" s="12" t="inlineStr">
        <is>
          <t>Split locked?</t>
        </is>
      </c>
      <c r="B10" s="12">
        <f>IF(COUNTIFS(Decision_Log!$A:$A,"D02",Decision_Log!$M:$M,"Locked")&gt;0,"YES","NO")</f>
        <v/>
      </c>
      <c r="D10" s="4">
        <f>Dictionary_Validation!A9</f>
        <v/>
      </c>
      <c r="E10" s="4">
        <f>COUNTIF(Master_Experiments!$C:$C,D10)</f>
        <v/>
      </c>
      <c r="J10" s="4">
        <f>IFERROR(Data_Selection_Design!$A8,"")</f>
        <v/>
      </c>
      <c r="K10" s="4">
        <f>IF(J10="","",SUMPRODUCT((Run_Log!$F$2:$F$2000=J10)*(Run_Log!$B$2:$B$2000&lt;&gt;"")/IFERROR(COUNTIFS(Run_Log!$F$2:$F$2000,J10,Run_Log!$B$2:$B$2000,Run_Log!$B$2:$B$2000),1)))</f>
        <v/>
      </c>
      <c r="M10" s="4">
        <f>IFERROR(Grouping_Strategy_Map!$A8,"")</f>
        <v/>
      </c>
      <c r="N10" s="4">
        <f>IF(M10="","",SUMPRODUCT((Run_Log!$G$2:$G$2000=M10)*(Run_Log!$B$2:$B$2000&lt;&gt;"")/IFERROR(COUNTIFS(Run_Log!$G$2:$G$2000,M10,Run_Log!$B$2:$B$2000,Run_Log!$B$2:$B$2000),1)))</f>
        <v/>
      </c>
    </row>
    <row r="11">
      <c r="A11" s="4" t="inlineStr">
        <is>
          <t>Model locked?</t>
        </is>
      </c>
      <c r="B11" s="4">
        <f>IF(AND(COUNTIFS(Decision_Log!$A:$A,"D03",Decision_Log!$M:$M,"Locked")&gt;0,COUNTIFS(Decision_Log!$A:$A,"D04",Decision_Log!$M:$M,"Locked")&gt;0,COUNTIFS(Decision_Log!$A:$A,"D05",Decision_Log!$M:$M,"Locked")&gt;0),"YES","NO")</f>
        <v/>
      </c>
      <c r="J11" s="4">
        <f>IFERROR(Data_Selection_Design!$A9,"")</f>
        <v/>
      </c>
      <c r="K11" s="4">
        <f>IF(J11="","",SUMPRODUCT((Run_Log!$F$2:$F$2000=J11)*(Run_Log!$B$2:$B$2000&lt;&gt;"")/IFERROR(COUNTIFS(Run_Log!$F$2:$F$2000,J11,Run_Log!$B$2:$B$2000,Run_Log!$B$2:$B$2000),1)))</f>
        <v/>
      </c>
      <c r="M11" s="4">
        <f>IFERROR(Grouping_Strategy_Map!$A9,"")</f>
        <v/>
      </c>
      <c r="N11" s="4">
        <f>IF(M11="","",SUMPRODUCT((Run_Log!$G$2:$G$2000=M11)*(Run_Log!$B$2:$B$2000&lt;&gt;"")/IFERROR(COUNTIFS(Run_Log!$G$2:$G$2000,M11,Run_Log!$B$2:$B$2000,Run_Log!$B$2:$B$2000),1)))</f>
        <v/>
      </c>
    </row>
    <row r="12">
      <c r="A12" s="12" t="inlineStr">
        <is>
          <t>Feature/preprocessing locked?</t>
        </is>
      </c>
      <c r="B12" s="12">
        <f>IF(AND(COUNTIFS(Decision_Log!$A:$A,"D06",Decision_Log!$M:$M,"Locked")&gt;0,COUNTIFS(Decision_Log!$A:$A,"D07",Decision_Log!$M:$M,"Locked")&gt;0),"YES","NO")</f>
        <v/>
      </c>
      <c r="J12" s="4">
        <f>IFERROR(Data_Selection_Design!$A10,"")</f>
        <v/>
      </c>
      <c r="K12" s="4">
        <f>IF(J12="","",SUMPRODUCT((Run_Log!$F$2:$F$2000=J12)*(Run_Log!$B$2:$B$2000&lt;&gt;"")/IFERROR(COUNTIFS(Run_Log!$F$2:$F$2000,J12,Run_Log!$B$2:$B$2000,Run_Log!$B$2:$B$2000),1)))</f>
        <v/>
      </c>
      <c r="M12" s="4">
        <f>IFERROR(Grouping_Strategy_Map!$A10,"")</f>
        <v/>
      </c>
      <c r="N12" s="4">
        <f>IF(M12="","",SUMPRODUCT((Run_Log!$G$2:$G$2000=M12)*(Run_Log!$B$2:$B$2000&lt;&gt;"")/IFERROR(COUNTIFS(Run_Log!$G$2:$G$2000,M12,Run_Log!$B$2:$B$2000,Run_Log!$B$2:$B$2000),1)))</f>
        <v/>
      </c>
    </row>
    <row r="13">
      <c r="A13" s="4" t="inlineStr">
        <is>
          <t>Confirmatory eligibility achieved?</t>
        </is>
      </c>
      <c r="B13" s="4">
        <f>IF(COUNTIFS(Confirmatory_Set!$J:$J,"YES")=COUNTIFS(Confirmatory_Set!$A:$A,"&lt;&gt;"),"YES","NO")</f>
        <v/>
      </c>
      <c r="J13" s="4">
        <f>IFERROR(Data_Selection_Design!$A11,"")</f>
        <v/>
      </c>
      <c r="K13" s="4">
        <f>IF(J13="","",SUMPRODUCT((Run_Log!$F$2:$F$2000=J13)*(Run_Log!$B$2:$B$2000&lt;&gt;"")/IFERROR(COUNTIFS(Run_Log!$F$2:$F$2000,J13,Run_Log!$B$2:$B$2000,Run_Log!$B$2:$B$2000),1)))</f>
        <v/>
      </c>
      <c r="M13" s="4">
        <f>IFERROR(Grouping_Strategy_Map!$A11,"")</f>
        <v/>
      </c>
      <c r="N13" s="4">
        <f>IF(M13="","",SUMPRODUCT((Run_Log!$G$2:$G$2000=M13)*(Run_Log!$B$2:$B$2000&lt;&gt;"")/IFERROR(COUNTIFS(Run_Log!$G$2:$G$2000,M13,Run_Log!$B$2:$B$2000,Run_Log!$B$2:$B$2000),1)))</f>
        <v/>
      </c>
    </row>
    <row r="14">
      <c r="A14" s="12" t="inlineStr">
        <is>
          <t>Confirmatory ready for Chapter 4?</t>
        </is>
      </c>
      <c r="B14" s="12">
        <f>IF(AND(B13="YES",COUNTIFS(Confirmatory_Set!$H:$H,"YES",Confirmatory_Set!$G:$G,"YES",Confirmatory_Set!$I:$I,"YES")=COUNTIFS(Confirmatory_Set!$H:$H,"YES")),"YES","NO")</f>
        <v/>
      </c>
      <c r="J14" s="4">
        <f>IFERROR(Data_Selection_Design!$A12,"")</f>
        <v/>
      </c>
      <c r="K14" s="4">
        <f>IF(J14="","",SUMPRODUCT((Run_Log!$F$2:$F$2000=J14)*(Run_Log!$B$2:$B$2000&lt;&gt;"")/IFERROR(COUNTIFS(Run_Log!$F$2:$F$2000,J14,Run_Log!$B$2:$B$2000,Run_Log!$B$2:$B$2000),1)))</f>
        <v/>
      </c>
      <c r="M14" s="4">
        <f>IFERROR(Grouping_Strategy_Map!$A12,"")</f>
        <v/>
      </c>
      <c r="N14" s="4">
        <f>IF(M14="","",SUMPRODUCT((Run_Log!$G$2:$G$2000=M14)*(Run_Log!$B$2:$B$2000&lt;&gt;"")/IFERROR(COUNTIFS(Run_Log!$G$2:$G$2000,M14,Run_Log!$B$2:$B$2000,Run_Log!$B$2:$B$2000),1)))</f>
        <v/>
      </c>
    </row>
    <row r="15">
      <c r="A15" s="4" t="inlineStr">
        <is>
          <t>Experiments mapped to Chapter 4 main results</t>
        </is>
      </c>
      <c r="B15" s="4">
        <f>COUNTIFS(Thesis_Map!$B$2:$B$500,"Chapter 4",Thesis_Map!$E$2:$E$500,"Main")</f>
        <v/>
      </c>
      <c r="J15" s="4">
        <f>IFERROR(Data_Selection_Design!$A13,"")</f>
        <v/>
      </c>
      <c r="K15" s="4">
        <f>IF(J15="","",SUMPRODUCT((Run_Log!$F$2:$F$2000=J15)*(Run_Log!$B$2:$B$2000&lt;&gt;"")/IFERROR(COUNTIFS(Run_Log!$F$2:$F$2000,J15,Run_Log!$B$2:$B$2000,Run_Log!$B$2:$B$2000),1)))</f>
        <v/>
      </c>
      <c r="M15" s="4">
        <f>IFERROR(Grouping_Strategy_Map!$A13,"")</f>
        <v/>
      </c>
      <c r="N15" s="4">
        <f>IF(M15="","",SUMPRODUCT((Run_Log!$G$2:$G$2000=M15)*(Run_Log!$B$2:$B$2000&lt;&gt;"")/IFERROR(COUNTIFS(Run_Log!$G$2:$G$2000,M15,Run_Log!$B$2:$B$2000,Run_Log!$B$2:$B$2000),1)))</f>
        <v/>
      </c>
    </row>
    <row r="16">
      <c r="A16" s="12" t="inlineStr">
        <is>
          <t>Experiments mapped only to Appendix</t>
        </is>
      </c>
      <c r="B16" s="12">
        <f>COUNTIF(Thesis_Map!$B$2:$B$500,"Appendix")</f>
        <v/>
      </c>
    </row>
    <row r="17">
      <c r="A17" s="4" t="inlineStr">
        <is>
          <t>Claims with Evidence_Status = supported</t>
        </is>
      </c>
      <c r="B17" s="4">
        <f>COUNTIF(Claim_Ledger!$E$2:$E$500,"supported")</f>
        <v/>
      </c>
      <c r="D17" s="17" t="inlineStr">
        <is>
          <t>Quick comparison counts (run-level)</t>
        </is>
      </c>
    </row>
    <row r="18">
      <c r="A18" s="12" t="inlineStr">
        <is>
          <t>Claims with Evidence_Status = partial</t>
        </is>
      </c>
      <c r="B18" s="12">
        <f>COUNTIF(Claim_Ledger!$E$2:$E$500,"partial")</f>
        <v/>
      </c>
      <c r="D18" s="12" t="inlineStr">
        <is>
          <t>Pooled task runs</t>
        </is>
      </c>
      <c r="E18" s="12">
        <f>COUNTIF(Run_Log!$Q$2:$Q$2000,"pooled_all_tasks")</f>
        <v/>
      </c>
    </row>
    <row r="19">
      <c r="A19" s="4" t="inlineStr">
        <is>
          <t>Claims with Evidence_Status = open</t>
        </is>
      </c>
      <c r="B19" s="4">
        <f>COUNTIF(Claim_Ledger!$E$2:$E$500,"open")</f>
        <v/>
      </c>
      <c r="D19" s="4" t="inlineStr">
        <is>
          <t>Task-specific runs</t>
        </is>
      </c>
      <c r="E19" s="4">
        <f>COUNTIFS(Run_Log!$Q$2:$Q$2000,"&lt;&gt;",Run_Log!$Q$2:$Q$2000,"&lt;&gt;pooled_all_tasks")</f>
        <v/>
      </c>
    </row>
    <row r="20">
      <c r="A20" s="12" t="inlineStr">
        <is>
          <t>AI log entries</t>
        </is>
      </c>
      <c r="B20" s="12">
        <f>COUNTA(AI_Usage_Log!$A$2:$A$500)</f>
        <v/>
      </c>
      <c r="D20" s="12" t="inlineStr">
        <is>
          <t>Pooled modality runs</t>
        </is>
      </c>
      <c r="E20" s="12">
        <f>COUNTIF(Run_Log!$R$2:$R$2000,"pooled_all_modalities")</f>
        <v/>
      </c>
    </row>
    <row r="21">
      <c r="A21" s="4" t="inlineStr">
        <is>
          <t>Open ethics/governance notes</t>
        </is>
      </c>
      <c r="B21" s="4">
        <f>COUNTIF(Ethics_Governance_Notes!$G$2:$G$500,"Open")</f>
        <v/>
      </c>
      <c r="D21" s="4" t="inlineStr">
        <is>
          <t>Modality-specific runs</t>
        </is>
      </c>
      <c r="E21" s="4">
        <f>COUNTIFS(Run_Log!$R$2:$R$2000,"&lt;&gt;",Run_Log!$R$2:$R$2000,"&lt;&gt;pooled_all_modalities")</f>
        <v/>
      </c>
    </row>
    <row r="22">
      <c r="A22" s="12" t="inlineStr">
        <is>
          <t>Runs flagged with imbalance warning</t>
        </is>
      </c>
      <c r="B22" s="12">
        <f>COUNTIFS(Run_Log!$Z$2:$Z$2000,"mild_imbalance")+COUNTIFS(Run_Log!$Z$2:$Z$2000,"severe_imbalance")</f>
        <v/>
      </c>
      <c r="D22" s="12" t="inlineStr">
        <is>
          <t>Within-person runs</t>
        </is>
      </c>
      <c r="E22" s="12">
        <f>SUMPRODUCT((Grouping_Strategy_Map!$C$2:$C$200="within_subject")*COUNTIF(Run_Log!$G$2:$G$2000,Grouping_Strategy_Map!$A$2:$A$200))</f>
        <v/>
      </c>
    </row>
    <row r="23">
      <c r="A23" s="4" t="inlineStr">
        <is>
          <t>Runs flagged with leakage warning/fail</t>
        </is>
      </c>
      <c r="B23" s="4">
        <f>COUNTIFS(Run_Log!$AA$2:$AA$2000,"warning")+COUNTIFS(Run_Log!$AA$2:$AA$2000,"failed")</f>
        <v/>
      </c>
      <c r="D23" s="4" t="inlineStr">
        <is>
          <t>Cross-person runs</t>
        </is>
      </c>
      <c r="E23" s="4">
        <f>SUMPRODUCT((Grouping_Strategy_Map!$C$2:$C$200="cross_person")*COUNTIF(Run_Log!$G$2:$G$2000,Grouping_Strategy_Map!$A$2:$A$200))</f>
        <v/>
      </c>
    </row>
    <row r="24">
      <c r="A24" s="12" t="inlineStr">
        <is>
          <t>Distinct data slices used in Run_Log</t>
        </is>
      </c>
      <c r="B24" s="12">
        <f>SUMPRODUCT((Run_Log!$F$2:$F$2000&lt;&gt;"")/COUNTIF(Run_Log!$F$2:$F$2000,Run_Log!$F$2:$F$2000&amp;""))</f>
        <v/>
      </c>
      <c r="D24" s="12" t="inlineStr">
        <is>
          <t>Temporal split runs</t>
        </is>
      </c>
      <c r="E24" s="12">
        <f>SUMPRODUCT((Grouping_Strategy_Map!$C$2:$C$200="temporal")*COUNTIF(Run_Log!$G$2:$G$2000,Grouping_Strategy_Map!$A$2:$A$200))</f>
        <v/>
      </c>
    </row>
    <row r="25">
      <c r="A25" s="4" t="inlineStr">
        <is>
          <t>Distinct grouping strategies used in Run_Log</t>
        </is>
      </c>
      <c r="B25" s="4">
        <f>SUMPRODUCT((Run_Log!$G$2:$G$2000&lt;&gt;"")/COUNTIF(Run_Log!$G$2:$G$2000,Run_Log!$G$2:$G$2000&amp;""))</f>
        <v/>
      </c>
    </row>
    <row r="26">
      <c r="A26" s="12" t="inlineStr">
        <is>
          <t>Runs with Data_Slice_ID recorded</t>
        </is>
      </c>
      <c r="B26" s="12">
        <f>COUNTIF(Run_Log!$F$2:$F$2000,"&lt;&gt;")</f>
        <v/>
      </c>
    </row>
    <row r="27">
      <c r="A27" s="4" t="inlineStr">
        <is>
          <t>Runs with Grouping_Strategy_ID recorded</t>
        </is>
      </c>
      <c r="B27" s="4">
        <f>COUNTIF(Run_Log!$G$2:$G$2000,"&lt;&gt;")</f>
        <v/>
      </c>
    </row>
  </sheetData>
  <mergeCells count="7">
    <mergeCell ref="J3:K3"/>
    <mergeCell ref="D17:E17"/>
    <mergeCell ref="M3:N3"/>
    <mergeCell ref="D3:E3"/>
    <mergeCell ref="A3:B3"/>
    <mergeCell ref="G3:H3"/>
    <mergeCell ref="A1:N1"/>
  </mergeCells>
  <conditionalFormatting sqref="B9:B14">
    <cfRule type="expression" priority="1" dxfId="0">
      <formula>B9="YES"</formula>
    </cfRule>
    <cfRule type="expression" priority="2" dxfId="4">
      <formula>B9="NO"</formula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0" customWidth="1" min="3" max="3"/>
    <col width="24" customWidth="1" min="4" max="4"/>
    <col width="14" customWidth="1" min="5" max="5"/>
    <col width="14" customWidth="1" min="6" max="6"/>
    <col width="38" customWidth="1" min="7" max="7"/>
    <col width="28" customWidth="1" min="8" max="8"/>
  </cols>
  <sheetData>
    <row r="1">
      <c r="A1" s="7" t="inlineStr">
        <is>
          <t>Claim_ID</t>
        </is>
      </c>
      <c r="B1" s="7" t="inlineStr">
        <is>
          <t>Claim_Text</t>
        </is>
      </c>
      <c r="C1" s="7" t="inlineStr">
        <is>
          <t>Claim_Type</t>
        </is>
      </c>
      <c r="D1" s="7" t="inlineStr">
        <is>
          <t>Supported_By_Experiments</t>
        </is>
      </c>
      <c r="E1" s="7" t="inlineStr">
        <is>
          <t>Evidence_Status</t>
        </is>
      </c>
      <c r="F1" s="7" t="inlineStr">
        <is>
          <t>Writing_Location</t>
        </is>
      </c>
      <c r="G1" s="7" t="inlineStr">
        <is>
          <t>Interpretation_Limit</t>
        </is>
      </c>
      <c r="H1" s="7" t="inlineStr">
        <is>
          <t>Notes</t>
        </is>
      </c>
    </row>
    <row r="2">
      <c r="A2" s="8" t="inlineStr">
        <is>
          <t>C01</t>
        </is>
      </c>
      <c r="B2" s="8" t="inlineStr">
        <is>
          <t>Primary within-person held-out-session decoding demonstrates meaningful generalization under locked pipeline.</t>
        </is>
      </c>
      <c r="C2" s="8" t="inlineStr">
        <is>
          <t>Confirmatory finding</t>
        </is>
      </c>
      <c r="D2" s="8" t="inlineStr">
        <is>
          <t>E16,E12,E13,E14</t>
        </is>
      </c>
      <c r="E2" s="8" t="inlineStr">
        <is>
          <t>open</t>
        </is>
      </c>
      <c r="F2" s="8" t="inlineStr">
        <is>
          <t>Chapter 4</t>
        </is>
      </c>
      <c r="G2" s="8" t="inlineStr">
        <is>
          <t>Interpret only within claim-matched split and current dataset scope.</t>
        </is>
      </c>
      <c r="H2" s="8" t="inlineStr"/>
    </row>
    <row r="3">
      <c r="A3" s="3" t="inlineStr">
        <is>
          <t>C02</t>
        </is>
      </c>
      <c r="B3" s="3" t="inlineStr">
        <is>
          <t>Frozen directional cross-person transfer indicates cross-case portability under domain shift.</t>
        </is>
      </c>
      <c r="C3" s="3" t="inlineStr">
        <is>
          <t>Confirmatory finding</t>
        </is>
      </c>
      <c r="D3" s="3" t="inlineStr">
        <is>
          <t>E17,E12,E13</t>
        </is>
      </c>
      <c r="E3" s="3" t="inlineStr">
        <is>
          <t>open</t>
        </is>
      </c>
      <c r="F3" s="3" t="inlineStr">
        <is>
          <t>Chapter 4</t>
        </is>
      </c>
      <c r="G3" s="3" t="inlineStr">
        <is>
          <t>Not a population-level generalization claim.</t>
        </is>
      </c>
      <c r="H3" s="3" t="inlineStr"/>
    </row>
    <row r="4">
      <c r="A4" s="8" t="inlineStr">
        <is>
          <t>C03</t>
        </is>
      </c>
      <c r="B4" s="8" t="inlineStr">
        <is>
          <t>Method lock decisions reduce leakage risk and interpretation drift.</t>
        </is>
      </c>
      <c r="C4" s="8" t="inlineStr">
        <is>
          <t>Method-choice</t>
        </is>
      </c>
      <c r="D4" s="8" t="inlineStr">
        <is>
          <t>E01,E04,E05,E06,E09,E11</t>
        </is>
      </c>
      <c r="E4" s="8" t="inlineStr">
        <is>
          <t>partial</t>
        </is>
      </c>
      <c r="F4" s="8" t="inlineStr">
        <is>
          <t>Chapter 3</t>
        </is>
      </c>
      <c r="G4" s="8" t="inlineStr">
        <is>
          <t>Governance claim; not a performance claim.</t>
        </is>
      </c>
      <c r="H4" s="8" t="inlineStr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</sheetData>
  <autoFilter ref="A1:H31"/>
  <dataValidations count="3">
    <dataValidation sqref="C2:C1000" showDropDown="0" showInputMessage="0" showErrorMessage="0" allowBlank="1" type="list">
      <formula1>=List_Claim_Type</formula1>
    </dataValidation>
    <dataValidation sqref="E2:E1000" showDropDown="0" showInputMessage="0" showErrorMessage="0" allowBlank="1" type="list">
      <formula1>=List_Evidence_Status</formula1>
    </dataValidation>
    <dataValidation sqref="F2:F1000" showDropDown="0" showInputMessage="0" showErrorMessage="0" allowBlank="1" type="list">
      <formula1>=List_Writing_Location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8" customWidth="1" min="4" max="4"/>
    <col width="32" customWidth="1" min="5" max="5"/>
    <col width="32" customWidth="1" min="6" max="6"/>
    <col width="30" customWidth="1" min="7" max="7"/>
    <col width="24" customWidth="1" min="8" max="8"/>
    <col width="14" customWidth="1" min="9" max="9"/>
    <col width="28" customWidth="1" min="10" max="10"/>
  </cols>
  <sheetData>
    <row r="1">
      <c r="A1" s="7" t="inlineStr">
        <is>
          <t>Entry_ID</t>
        </is>
      </c>
      <c r="B1" s="7" t="inlineStr">
        <is>
          <t>Date</t>
        </is>
      </c>
      <c r="C1" s="7" t="inlineStr">
        <is>
          <t>Task</t>
        </is>
      </c>
      <c r="D1" s="7" t="inlineStr">
        <is>
          <t>Tool</t>
        </is>
      </c>
      <c r="E1" s="7" t="inlineStr">
        <is>
          <t>Input_Summary</t>
        </is>
      </c>
      <c r="F1" s="7" t="inlineStr">
        <is>
          <t>Output_Summary</t>
        </is>
      </c>
      <c r="G1" s="7" t="inlineStr">
        <is>
          <t>What_Was_Adopted</t>
        </is>
      </c>
      <c r="H1" s="7" t="inlineStr">
        <is>
          <t>Human_Verification_Status</t>
        </is>
      </c>
      <c r="I1" s="7" t="inlineStr">
        <is>
          <t>Thesis_Use</t>
        </is>
      </c>
      <c r="J1" s="7" t="inlineStr">
        <is>
          <t>Notes</t>
        </is>
      </c>
    </row>
    <row r="2">
      <c r="A2" s="8" t="inlineStr">
        <is>
          <t>AI001</t>
        </is>
      </c>
      <c r="B2" s="8" t="n"/>
      <c r="C2" s="8" t="n"/>
      <c r="D2" s="8" t="inlineStr">
        <is>
          <t>GPT-5.3-Codex</t>
        </is>
      </c>
      <c r="E2" s="8" t="inlineStr">
        <is>
          <t>Workbook package revision and governance alignment</t>
        </is>
      </c>
      <c r="F2" s="8" t="n"/>
      <c r="G2" s="8" t="n"/>
      <c r="H2" s="8" t="inlineStr">
        <is>
          <t>Not reviewed</t>
        </is>
      </c>
      <c r="I2" s="8" t="inlineStr">
        <is>
          <t>No</t>
        </is>
      </c>
      <c r="J2" s="8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</sheetData>
  <autoFilter ref="A1:J41"/>
  <dataValidations count="2">
    <dataValidation sqref="H2:H1000" showDropDown="0" showInputMessage="0" showErrorMessage="0" allowBlank="1" type="list">
      <formula1>=List_Human_Verification_Status</formula1>
    </dataValidation>
    <dataValidation sqref="I2:I1000" showDropDown="0" showInputMessage="0" showErrorMessage="0" allowBlank="1" type="list">
      <formula1>=List_Used_in_Thesis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4" customWidth="1" min="4" max="4"/>
    <col width="34" customWidth="1" min="5" max="5"/>
    <col width="20" customWidth="1" min="6" max="6"/>
    <col width="12" customWidth="1" min="7" max="7"/>
    <col width="26" customWidth="1" min="8" max="8"/>
  </cols>
  <sheetData>
    <row r="1">
      <c r="A1" s="7" t="inlineStr">
        <is>
          <t>Note_ID</t>
        </is>
      </c>
      <c r="B1" s="7" t="inlineStr">
        <is>
          <t>Experiment_ID_or_Decision_ID</t>
        </is>
      </c>
      <c r="C1" s="7" t="inlineStr">
        <is>
          <t>Topic</t>
        </is>
      </c>
      <c r="D1" s="7" t="inlineStr">
        <is>
          <t>Risk_or_Concern</t>
        </is>
      </c>
      <c r="E1" s="7" t="inlineStr">
        <is>
          <t>Mitigation_or_Response</t>
        </is>
      </c>
      <c r="F1" s="7" t="inlineStr">
        <is>
          <t>Thesis_Section</t>
        </is>
      </c>
      <c r="G1" s="7" t="inlineStr">
        <is>
          <t>Status</t>
        </is>
      </c>
      <c r="H1" s="7" t="inlineStr">
        <is>
          <t>Notes</t>
        </is>
      </c>
    </row>
    <row r="2">
      <c r="A2" s="8" t="inlineStr">
        <is>
          <t>EN01</t>
        </is>
      </c>
      <c r="B2" s="8" t="inlineStr">
        <is>
          <t>E16</t>
        </is>
      </c>
      <c r="C2" s="8" t="inlineStr">
        <is>
          <t>Interpretation limits</t>
        </is>
      </c>
      <c r="D2" s="8" t="inlineStr">
        <is>
          <t>Risk of over-claiming confirmatory evidence beyond split/domain scope</t>
        </is>
      </c>
      <c r="E2" s="8" t="inlineStr">
        <is>
          <t>Enforce interpretation boundaries in Claim_Ledger and Chapter 5 limitations</t>
        </is>
      </c>
      <c r="F2" s="8" t="inlineStr">
        <is>
          <t>Chapter 5</t>
        </is>
      </c>
      <c r="G2" s="8" t="inlineStr">
        <is>
          <t>Open</t>
        </is>
      </c>
      <c r="H2" s="8" t="inlineStr"/>
    </row>
    <row r="3">
      <c r="A3" s="3" t="inlineStr">
        <is>
          <t>EN02</t>
        </is>
      </c>
      <c r="B3" s="3" t="inlineStr">
        <is>
          <t>D08</t>
        </is>
      </c>
      <c r="C3" s="3" t="inlineStr">
        <is>
          <t>AI/tool transparency</t>
        </is>
      </c>
      <c r="D3" s="3" t="inlineStr">
        <is>
          <t>Insufficient traceability of AI-assisted drafting decisions</t>
        </is>
      </c>
      <c r="E3" s="3" t="inlineStr">
        <is>
          <t>Maintain AI_Usage_Log with human verification status before thesis inclusion</t>
        </is>
      </c>
      <c r="F3" s="3" t="inlineStr">
        <is>
          <t>Chapter 2/Appendix</t>
        </is>
      </c>
      <c r="G3" s="3" t="inlineStr">
        <is>
          <t>Open</t>
        </is>
      </c>
      <c r="H3" s="3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</sheetData>
  <autoFilter ref="A1:H31"/>
  <dataValidations count="2">
    <dataValidation sqref="C2:C1000" showDropDown="0" showInputMessage="0" showErrorMessage="0" allowBlank="1" type="list">
      <formula1>=List_Ethics_Topic</formula1>
    </dataValidation>
    <dataValidation sqref="G2:G1000" showDropDown="0" showInputMessage="0" showErrorMessage="0" allowBlank="1" type="list">
      <formula1>=List_Ethics_Status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2026-03-14T05:34:41Z</dcterms:created>
  <dcterms:modified xsi:type="dcterms:W3CDTF">2026-03-14T05:34:42Z</dcterms:modified>
</cp:coreProperties>
</file>